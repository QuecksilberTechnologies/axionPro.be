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12c7fdf46848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f732888ed564810"/>
    <x:sheet xmlns:r="http://schemas.openxmlformats.org/officeDocument/2006/relationships" name="Seed catalog" sheetId="2" r:id="Rb6053d30426d485a"/>
    <x:sheet xmlns:r="http://schemas.openxmlformats.org/officeDocument/2006/relationships" name="Seed sources" sheetId="3" r:id="Rd3fe13601ce544b3"/>
    <x:sheet xmlns:r="http://schemas.openxmlformats.org/officeDocument/2006/relationships" name="Missing seeds" sheetId="4" r:id="Re20449f10c894353"/>
    <x:sheet xmlns:r="http://schemas.openxmlformats.org/officeDocument/2006/relationships" name="Checks" sheetId="5" r:id="R03d097a2cd8f46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6"/>
      <x:color rgb="FF17365D"/>
      <x:name val="Arial"/>
    </x:font>
    <x:font>
      <x:i/>
      <x:sz val="10"/>
      <x:color rgb="FF667085"/>
      <x:name val="Arial"/>
    </x:font>
    <x:font>
      <x:b/>
      <x:sz val="10"/>
      <x:color rgb="FFFFFFFF"/>
      <x:name val="Arial"/>
    </x:font>
    <x:font>
      <x:b/>
      <x:sz val="12"/>
      <x:color rgb="FF2F75B5"/>
      <x:name val="Arial"/>
    </x:font>
    <x:font>
      <x:i/>
      <x:sz val="10"/>
      <x:color rgb="FF7F6000"/>
      <x:name val="Arial"/>
    </x:font>
    <x:font>
      <x:b/>
      <x:sz val="10"/>
      <x:color rgb="FF375623"/>
      <x:name val="Arial"/>
    </x:font>
    <x:font>
      <x:b/>
      <x:sz val="10"/>
      <x:color rgb="FF9C0006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8FAFC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n">
        <x:color rgb="FF2F75B5"/>
      </x:bottom>
      <x:diagonal/>
    </x:border>
    <x:border>
      <x:left/>
      <x:right/>
      <x:top/>
      <x:bottom style="thin">
        <x:color rgb="FFFFFFFF"/>
      </x:bottom>
      <x:diagonal/>
    </x:border>
    <x:border>
      <x:left/>
      <x:right/>
      <x:top/>
      <x:bottom style="thin">
        <x:color rgb="FFD0D5DD"/>
      </x:bottom>
      <x:diagonal/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2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/>
    <x:xf numFmtId="0" fontId="0" fillId="0" borderId="3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6" fillId="5" borderId="3" xfId="0" applyNumberFormat="1" applyFont="1" applyFill="1" applyBorder="1"/>
    <x:xf numFmtId="0" fontId="0" fillId="4" borderId="3" xfId="0" applyNumberFormat="1" applyFont="1" applyFill="1" applyBorder="1"/>
    <x:xf numFmtId="0" fontId="0" fillId="5" borderId="3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e3251c51a64b6f" /><Relationship Type="http://schemas.openxmlformats.org/officeDocument/2006/relationships/theme" Target="/xl/theme/theme1.xml" Id="R6b0e87821a1947bc" /><Relationship Type="http://schemas.openxmlformats.org/officeDocument/2006/relationships/sharedStrings" Target="/xl/sharedStrings.xml" Id="Rc8fcb52a14f64db7" /><Relationship Type="http://schemas.openxmlformats.org/officeDocument/2006/relationships/worksheet" Target="/xl/worksheets/sheet1.xml" Id="R0f732888ed564810" /><Relationship Type="http://schemas.openxmlformats.org/officeDocument/2006/relationships/worksheet" Target="/xl/worksheets/sheet2.xml" Id="Rb6053d30426d485a" /><Relationship Type="http://schemas.openxmlformats.org/officeDocument/2006/relationships/worksheet" Target="/xl/worksheets/sheet3.xml" Id="Rd3fe13601ce544b3" /><Relationship Type="http://schemas.openxmlformats.org/officeDocument/2006/relationships/worksheet" Target="/xl/worksheets/sheet4.xml" Id="Re20449f10c894353" /><Relationship Type="http://schemas.openxmlformats.org/officeDocument/2006/relationships/worksheet" Target="/xl/worksheets/sheet5.xml" Id="R03d097a2cd8f466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2" hidden="0" customWidth="1"/>
    <x:col min="3" max="3" width="20" hidden="0" customWidth="1"/>
    <x:col min="4" max="4" width="14" hidden="0" customWidth="1"/>
    <x:col min="5" max="5" width="3" hidden="0" customWidth="1"/>
    <x:col min="6" max="6" width="24" hidden="0" customWidth="1"/>
    <x:col min="7" max="7" width="16" hidden="0" customWidth="1"/>
    <x:col min="8" max="8" width="45" hidden="0" customWidth="1"/>
    <x:col min="9" max="9" width="38" hidden="0" customWidth="1"/>
  </x:cols>
  <x:sheetData>
    <x:row r="2">
      <x:c r="A2" s="1" t="str">
        <x:v>AxionPro seed data inventory</x:v>
      </x:c>
    </x:row>
    <x:row r="3">
      <x:c r="A3" s="2" t="str">
        <x:v>Current source-controlled seed coverage with exact Local and Render row counts · 09 Oct 2026</x:v>
      </x:c>
    </x:row>
    <x:row r="4">
      <x:c r="A4" s="3"/>
      <x:c r="B4" s="3"/>
      <x:c r="C4" s="3"/>
      <x:c r="D4" s="3"/>
      <x:c r="E4" s="3"/>
      <x:c r="F4" s="3"/>
      <x:c r="G4" s="3"/>
      <x:c r="H4" s="3"/>
      <x:c r="I4" s="3"/>
    </x:row>
    <x:row r="6">
      <x:c r="A6" s="8" t="str">
        <x:v>Metric</x:v>
      </x:c>
      <x:c r="B6" s="8" t="str">
        <x:v>Value</x:v>
      </x:c>
      <x:c r="C6" s="8" t="str">
        <x:v>Metric</x:v>
      </x:c>
      <x:c r="D6" s="8" t="str">
        <x:v>Value</x:v>
      </x:c>
      <x:c r="E6" s="8" t="str">
        <x:v>Metric</x:v>
      </x:c>
      <x:c r="F6" s="8" t="str">
        <x:v>Value</x:v>
      </x:c>
      <x:c r="G6" s="8" t="str">
        <x:v>Metric</x:v>
      </x:c>
      <x:c r="H6" s="8" t="str">
        <x:v>Value</x:v>
      </x:c>
    </x:row>
    <x:row r="7" ht="24" customHeight="1">
      <x:c r="A7" s="9" t="str">
        <x:v>Database tables</x:v>
      </x:c>
      <x:c r="B7" s="10" t="n">
        <x:v>166</x:v>
      </x:c>
      <x:c r="C7" s="9" t="str">
        <x:v>Explicitly seeded</x:v>
      </x:c>
      <x:c r="D7" s="9" t="n">
        <x:v>50</x:v>
      </x:c>
      <x:c r="E7" s="9" t="str">
        <x:v>SQL seeded</x:v>
      </x:c>
      <x:c r="F7" s="9" t="n">
        <x:v>48</x:v>
      </x:c>
      <x:c r="G7" s="9" t="str">
        <x:v>Runtime seeded</x:v>
      </x:c>
      <x:c r="H7" s="9" t="n">
        <x:v>2</x:v>
      </x:c>
    </x:row>
    <x:row r="8" ht="24" customHeight="1">
      <x:c r="A8" s="9" t="str">
        <x:v>Missing seed files</x:v>
      </x:c>
      <x:c r="B8" s="10" t="n">
        <x:v>17</x:v>
      </x:c>
      <x:c r="C8" s="9" t="str">
        <x:v>EF HasData</x:v>
      </x:c>
      <x:c r="D8" s="9" t="n">
        <x:v>0</x:v>
      </x:c>
      <x:c r="E8" s="9" t="str">
        <x:v>Matching row counts</x:v>
      </x:c>
      <x:c r="F8" s="9" t="n">
        <x:f>COUNTIF('Seed catalog'!H7:H56,"MATCH")</x:f>
        <x:v>40</x:v>
      </x:c>
      <x:c r="G8" s="9" t="str">
        <x:v>Different row counts</x:v>
      </x:c>
      <x:c r="H8" s="9" t="n">
        <x:f>COUNTIF('Seed catalog'!H7:H56,"DIFF")</x:f>
        <x:v>10</x:v>
      </x:c>
    </x:row>
    <x:row r="11">
      <x:c r="A11" s="8" t="str">
        <x:v>Seed category</x:v>
      </x:c>
      <x:c r="B11" s="8" t="str">
        <x:v>Tables</x:v>
      </x:c>
      <x:c r="C11" s="8" t="str">
        <x:v>Render rows</x:v>
      </x:c>
      <x:c r="D11" s="8" t="str">
        <x:v>Local rows</x:v>
      </x:c>
      <x:c r="F11" s="8" t="str">
        <x:v>Review finding</x:v>
      </x:c>
      <x:c r="G11" s="8" t="str">
        <x:v>Value</x:v>
      </x:c>
      <x:c r="H11" s="8" t="str">
        <x:v>Meaning</x:v>
      </x:c>
      <x:c r="I11" s="8" t="str">
        <x:v>Action</x:v>
      </x:c>
    </x:row>
    <x:row r="12">
      <x:c r="A12" s="11" t="str">
        <x:v>Access / navigation</x:v>
      </x:c>
      <x:c r="B12" s="11" t="n">
        <x:f>COUNTIF('Seed catalog'!C$7:C$56,A12)</x:f>
        <x:v>11</x:v>
      </x:c>
      <x:c r="C12" s="11" t="n">
        <x:f>SUMIF('Seed catalog'!C$7:C$56,A12,'Seed catalog'!F$7:F$56)</x:f>
        <x:v>1216</x:v>
      </x:c>
      <x:c r="D12" s="11" t="n">
        <x:f>SUMIF('Seed catalog'!C$7:C$56,A12,'Seed catalog'!G$7:G$56)</x:f>
        <x:v>1171</x:v>
      </x:c>
      <x:c r="F12" s="13" t="str">
        <x:v>Environment parity</x:v>
      </x:c>
      <x:c r="G12" s="13" t="str">
        <x:v>10 differences</x:v>
      </x:c>
      <x:c r="H12" s="13" t="str">
        <x:v>Exact current row counts differ between Local and Render.</x:v>
      </x:c>
      <x:c r="I12" s="13" t="str">
        <x:v>Review Seed catalog rows marked DIFF.</x:v>
      </x:c>
    </x:row>
    <x:row r="13">
      <x:c r="A13" s="11" t="str">
        <x:v>Billing / subscription</x:v>
      </x:c>
      <x:c r="B13" s="11" t="n">
        <x:f>COUNTIF('Seed catalog'!C$7:C$56,A13)</x:f>
        <x:v>4</x:v>
      </x:c>
      <x:c r="C13" s="11" t="n">
        <x:f>SUMIF('Seed catalog'!C$7:C$56,A13,'Seed catalog'!F$7:F$56)</x:f>
        <x:v>18</x:v>
      </x:c>
      <x:c r="D13" s="11" t="n">
        <x:f>SUMIF('Seed catalog'!C$7:C$56,A13,'Seed catalog'!G$7:G$56)</x:f>
        <x:v>18</x:v>
      </x:c>
      <x:c r="F13" s="13" t="str">
        <x:v>Geography volume</x:v>
      </x:c>
      <x:c r="G13" s="13" t="str">
        <x:v>Large catalogs</x:v>
      </x:c>
      <x:c r="H13" s="13" t="str">
        <x:v>Local contains broader geography data than Render.</x:v>
      </x:c>
      <x:c r="I13" s="13" t="str">
        <x:v>Use source scripts; workbook does not duplicate lakh-level rows.</x:v>
      </x:c>
    </x:row>
    <x:row r="14">
      <x:c r="A14" s="11" t="str">
        <x:v>Email</x:v>
      </x:c>
      <x:c r="B14" s="11" t="n">
        <x:f>COUNTIF('Seed catalog'!C$7:C$56,A14)</x:f>
        <x:v>3</x:v>
      </x:c>
      <x:c r="C14" s="11" t="n">
        <x:f>SUMIF('Seed catalog'!C$7:C$56,A14,'Seed catalog'!F$7:F$56)</x:f>
        <x:v>12</x:v>
      </x:c>
      <x:c r="D14" s="11" t="n">
        <x:f>SUMIF('Seed catalog'!C$7:C$56,A14,'Seed catalog'!G$7:G$56)</x:f>
        <x:v>7</x:v>
      </x:c>
      <x:c r="F14" s="13" t="str">
        <x:v>TenantEmailTemplate</x:v>
      </x:c>
      <x:c r="G14" s="13" t="str">
        <x:v>Local 0 / Render 5</x:v>
      </x:c>
      <x:c r="H14" s="13" t="str">
        <x:v>Local tenant template seed is missing from current data.</x:v>
      </x:c>
      <x:c r="I14" s="13" t="str">
        <x:v>Run the approved seed only after environment review.</x:v>
      </x:c>
    </x:row>
    <x:row r="15">
      <x:c r="A15" s="11" t="str">
        <x:v>Employee / organisation</x:v>
      </x:c>
      <x:c r="B15" s="11" t="n">
        <x:f>COUNTIF('Seed catalog'!C$7:C$56,A15)</x:f>
        <x:v>7</x:v>
      </x:c>
      <x:c r="C15" s="11" t="n">
        <x:f>SUMIF('Seed catalog'!C$7:C$56,A15,'Seed catalog'!F$7:F$56)</x:f>
        <x:v>35</x:v>
      </x:c>
      <x:c r="D15" s="11" t="n">
        <x:f>SUMIF('Seed catalog'!C$7:C$56,A15,'Seed catalog'!G$7:G$56)</x:f>
        <x:v>33</x:v>
      </x:c>
      <x:c r="F15" s="14" t="str">
        <x:v>Missing seed files</x:v>
      </x:c>
      <x:c r="G15" s="14" t="n">
        <x:v>17</x:v>
      </x:c>
      <x:c r="H15" s="14" t="str">
        <x:v>Tables exist but no authoritative seed source was found.</x:v>
      </x:c>
      <x:c r="I15" s="14" t="str">
        <x:v>Obtain business-approved catalogues; do not invent values.</x:v>
      </x:c>
    </x:row>
    <x:row r="16">
      <x:c r="A16" s="11" t="str">
        <x:v>Geography / statutory</x:v>
      </x:c>
      <x:c r="B16" s="11" t="n">
        <x:f>COUNTIF('Seed catalog'!C$7:C$56,A16)</x:f>
        <x:v>8</x:v>
      </x:c>
      <x:c r="C16" s="11" t="n">
        <x:f>SUMIF('Seed catalog'!C$7:C$56,A16,'Seed catalog'!F$7:F$56)</x:f>
        <x:v>196969</x:v>
      </x:c>
      <x:c r="D16" s="11" t="n">
        <x:f>SUMIF('Seed catalog'!C$7:C$56,A16,'Seed catalog'!G$7:G$56)</x:f>
        <x:v>270740</x:v>
      </x:c>
    </x:row>
    <x:row r="17">
      <x:c r="A17" s="11" t="str">
        <x:v>Policy</x:v>
      </x:c>
      <x:c r="B17" s="11" t="n">
        <x:f>COUNTIF('Seed catalog'!C$7:C$56,A17)</x:f>
        <x:v>10</x:v>
      </x:c>
      <x:c r="C17" s="11" t="n">
        <x:f>SUMIF('Seed catalog'!C$7:C$56,A17,'Seed catalog'!F$7:F$56)</x:f>
        <x:v>129</x:v>
      </x:c>
      <x:c r="D17" s="11" t="n">
        <x:f>SUMIF('Seed catalog'!C$7:C$56,A17,'Seed catalog'!G$7:G$56)</x:f>
        <x:v>129</x:v>
      </x:c>
    </x:row>
    <x:row r="18">
      <x:c r="A18" s="12" t="str">
        <x:v>Tenant / reference</x:v>
      </x:c>
      <x:c r="B18" s="12" t="n">
        <x:f>COUNTIF('Seed catalog'!C$7:C$56,A18)</x:f>
        <x:v>7</x:v>
      </x:c>
      <x:c r="C18" s="12" t="n">
        <x:f>SUMIF('Seed catalog'!C$7:C$56,A18,'Seed catalog'!F$7:F$56)</x:f>
        <x:v>60</x:v>
      </x:c>
      <x:c r="D18" s="12" t="n">
        <x:f>SUMIF('Seed catalog'!C$7:C$56,A18,'Seed catalog'!G$7:G$56)</x:f>
        <x:v>60</x:v>
      </x:c>
    </x:row>
    <x:row r="23">
      <x:c r="A23" s="17" t="str">
        <x:v>Scope note: “Seeded” means an explicit INSERT-based SQL source or an explicitly named runtime seed helper found in this repository. Row counts are a live snapshot, not the canonical expected value.</x:v>
      </x:c>
    </x:row>
  </x:sheetData>
  <x:mergeCells>
    <x:mergeCell ref="A2:I2"/>
    <x:mergeCell ref="A3:I3"/>
    <x:mergeCell ref="A23:I2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6" hidden="0" customWidth="1"/>
    <x:col min="2" max="2" width="35" hidden="0" customWidth="1"/>
    <x:col min="3" max="3" width="25" hidden="0" customWidth="1"/>
    <x:col min="4" max="4" width="12" hidden="0" customWidth="1"/>
    <x:col min="5" max="5" width="68" hidden="0" customWidth="1"/>
    <x:col min="6" max="6" width="15" hidden="0" customWidth="1"/>
    <x:col min="7" max="7" width="15" hidden="0" customWidth="1"/>
    <x:col min="8" max="8" width="12" hidden="0" customWidth="1"/>
    <x:col min="9" max="9" width="14" hidden="0" customWidth="1"/>
    <x:col min="10" max="10" width="42" hidden="0" customWidth="1"/>
  </x:cols>
  <x:sheetData>
    <x:row r="2">
      <x:c r="A2" s="1" t="str">
        <x:v>Seeded table catalog</x:v>
      </x:c>
    </x:row>
    <x:row r="3">
      <x:c r="A3" s="2" t="str">
        <x:v>One row per seeded table; source details are expanded in Seed sources.</x:v>
      </x:c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</x:row>
    <x:row r="6">
      <x:c r="A6" s="8" t="str">
        <x:v>#</x:v>
      </x:c>
      <x:c r="B6" s="8" t="str">
        <x:v>Table</x:v>
      </x:c>
      <x:c r="C6" s="8" t="str">
        <x:v>Seed category</x:v>
      </x:c>
      <x:c r="D6" s="8" t="str">
        <x:v>Mechanism</x:v>
      </x:c>
      <x:c r="E6" s="8" t="str">
        <x:v>Primary source</x:v>
      </x:c>
      <x:c r="F6" s="8" t="str">
        <x:v>Render rows</x:v>
      </x:c>
      <x:c r="G6" s="8" t="str">
        <x:v>Local rows</x:v>
      </x:c>
      <x:c r="H6" s="8" t="str">
        <x:v>Parity</x:v>
      </x:c>
      <x:c r="I6" s="8" t="str">
        <x:v>Source count</x:v>
      </x:c>
      <x:c r="J6" s="8" t="str">
        <x:v>Notes</x:v>
      </x:c>
    </x:row>
    <x:row r="7">
      <x:c r="A7" s="11" t="n">
        <x:v>1</x:v>
      </x:c>
      <x:c r="B7" s="11" t="str">
        <x:v>AttendanceDeviceType</x:v>
      </x:c>
      <x:c r="C7" s="11" t="str">
        <x:v>Tenant / reference</x:v>
      </x:c>
      <x:c r="D7" s="11" t="str">
        <x:v>SQL</x:v>
      </x:c>
      <x:c r="E7" s="13" t="str">
        <x:v>database-scripts/production-seed/02-parent-master/001-shared-master-data.sql</x:v>
      </x:c>
      <x:c r="F7" s="11" t="n">
        <x:v>4</x:v>
      </x:c>
      <x:c r="G7" s="11" t="n">
        <x:v>4</x:v>
      </x:c>
      <x:c r="H7" s="19" t="str">
        <x:f>IF(F7=G7,"MATCH","DIFF")</x:f>
        <x:v>MATCH</x:v>
      </x:c>
      <x:c r="I7" s="11" t="n">
        <x:v>3</x:v>
      </x:c>
      <x:c r="J7" s="13" t="str"/>
    </x:row>
    <x:row r="8">
      <x:c r="A8" s="11" t="n">
        <x:v>2</x:v>
      </x:c>
      <x:c r="B8" s="11" t="str">
        <x:v>AttendancePolicyVersionConfiguration</x:v>
      </x:c>
      <x:c r="C8" s="11" t="str">
        <x:v>Policy</x:v>
      </x:c>
      <x:c r="D8" s="11" t="str">
        <x:v>SQL</x:v>
      </x:c>
      <x:c r="E8" s="13" t="str">
        <x:v>database-scripts/AddAttendancePolicyVersionConfiguration.sql</x:v>
      </x:c>
      <x:c r="F8" s="11" t="n">
        <x:v>0</x:v>
      </x:c>
      <x:c r="G8" s="11" t="n">
        <x:v>0</x:v>
      </x:c>
      <x:c r="H8" s="19" t="str">
        <x:f>IF(F8=G8,"MATCH","DIFF")</x:f>
        <x:v>MATCH</x:v>
      </x:c>
      <x:c r="I8" s="11" t="n">
        <x:v>1</x:v>
      </x:c>
      <x:c r="J8" s="13" t="str"/>
    </x:row>
    <x:row r="9">
      <x:c r="A9" s="11" t="n">
        <x:v>3</x:v>
      </x:c>
      <x:c r="B9" s="11" t="str">
        <x:v>BillingTaxRule</x:v>
      </x:c>
      <x:c r="C9" s="11" t="str">
        <x:v>Billing / subscription</x:v>
      </x:c>
      <x:c r="D9" s="11" t="str">
        <x:v>SQL</x:v>
      </x:c>
      <x:c r="E9" s="13" t="str">
        <x:v>database-scripts/AddSubscriptionBillingFoundation.sql</x:v>
      </x:c>
      <x:c r="F9" s="11" t="n">
        <x:v>1</x:v>
      </x:c>
      <x:c r="G9" s="11" t="n">
        <x:v>1</x:v>
      </x:c>
      <x:c r="H9" s="19" t="str">
        <x:f>IF(F9=G9,"MATCH","DIFF")</x:f>
        <x:v>MATCH</x:v>
      </x:c>
      <x:c r="I9" s="11" t="n">
        <x:v>1</x:v>
      </x:c>
      <x:c r="J9" s="13" t="str"/>
    </x:row>
    <x:row r="10">
      <x:c r="A10" s="11" t="n">
        <x:v>4</x:v>
      </x:c>
      <x:c r="B10" s="11" t="str">
        <x:v>ClientType</x:v>
      </x:c>
      <x:c r="C10" s="11" t="str">
        <x:v>Tenant / reference</x:v>
      </x:c>
      <x:c r="D10" s="11" t="str">
        <x:v>SQL</x:v>
      </x:c>
      <x:c r="E10" s="13" t="str">
        <x:v>database-scripts/production-seed/02-parent-master/001-shared-master-data.sql</x:v>
      </x:c>
      <x:c r="F10" s="11" t="n">
        <x:v>12</x:v>
      </x:c>
      <x:c r="G10" s="11" t="n">
        <x:v>12</x:v>
      </x:c>
      <x:c r="H10" s="19" t="str">
        <x:f>IF(F10=G10,"MATCH","DIFF")</x:f>
        <x:v>MATCH</x:v>
      </x:c>
      <x:c r="I10" s="11" t="n">
        <x:v>1</x:v>
      </x:c>
      <x:c r="J10" s="13" t="str"/>
    </x:row>
    <x:row r="11">
      <x:c r="A11" s="11" t="n">
        <x:v>5</x:v>
      </x:c>
      <x:c r="B11" s="11" t="str">
        <x:v>ComplianceTypeMaster</x:v>
      </x:c>
      <x:c r="C11" s="11" t="str">
        <x:v>Geography / statutory</x:v>
      </x:c>
      <x:c r="D11" s="11" t="str">
        <x:v>SQL</x:v>
      </x:c>
      <x:c r="E11" s="13" t="str">
        <x:v>database-scripts/production-seed/03-geography/002-country-regulatory-master.sql</x:v>
      </x:c>
      <x:c r="F11" s="11" t="n">
        <x:v>27</x:v>
      </x:c>
      <x:c r="G11" s="11" t="n">
        <x:v>1018</x:v>
      </x:c>
      <x:c r="H11" s="21" t="str">
        <x:f>IF(F11=G11,"MATCH","DIFF")</x:f>
        <x:v>DIFF</x:v>
      </x:c>
      <x:c r="I11" s="11" t="n">
        <x:v>1</x:v>
      </x:c>
      <x:c r="J11" s="13" t="str"/>
    </x:row>
    <x:row r="12">
      <x:c r="A12" s="11" t="n">
        <x:v>6</x:v>
      </x:c>
      <x:c r="B12" s="11" t="str">
        <x:v>Country</x:v>
      </x:c>
      <x:c r="C12" s="11" t="str">
        <x:v>Geography / statutory</x:v>
      </x:c>
      <x:c r="D12" s="11" t="str">
        <x:v>SQL</x:v>
      </x:c>
      <x:c r="E12" s="13" t="str">
        <x:v>database-scripts/production-seed/03-geography/000-iso-country-catalog.sql</x:v>
      </x:c>
      <x:c r="F12" s="11" t="n">
        <x:v>4</x:v>
      </x:c>
      <x:c r="G12" s="11" t="n">
        <x:v>249</x:v>
      </x:c>
      <x:c r="H12" s="21" t="str">
        <x:f>IF(F12=G12,"MATCH","DIFF")</x:f>
        <x:v>DIFF</x:v>
      </x:c>
      <x:c r="I12" s="11" t="n">
        <x:v>3</x:v>
      </x:c>
      <x:c r="J12" s="13" t="str">
        <x:v>High-volume geography catalog; refer to authoritative SQL source.</x:v>
      </x:c>
    </x:row>
    <x:row r="13">
      <x:c r="A13" s="11" t="n">
        <x:v>7</x:v>
      </x:c>
      <x:c r="B13" s="11" t="str">
        <x:v>CountryIdentityRule</x:v>
      </x:c>
      <x:c r="C13" s="11" t="str">
        <x:v>Geography / statutory</x:v>
      </x:c>
      <x:c r="D13" s="11" t="str">
        <x:v>SQL</x:v>
      </x:c>
      <x:c r="E13" s="13" t="str">
        <x:v>database-scripts/production-seed/05-dependent-master/001-employee-identity-catalog.sql</x:v>
      </x:c>
      <x:c r="F13" s="11" t="n">
        <x:v>10</x:v>
      </x:c>
      <x:c r="G13" s="11" t="n">
        <x:v>260</x:v>
      </x:c>
      <x:c r="H13" s="21" t="str">
        <x:f>IF(F13=G13,"MATCH","DIFF")</x:f>
        <x:v>DIFF</x:v>
      </x:c>
      <x:c r="I13" s="11" t="n">
        <x:v>1</x:v>
      </x:c>
      <x:c r="J13" s="13" t="str"/>
    </x:row>
    <x:row r="14">
      <x:c r="A14" s="11" t="n">
        <x:v>8</x:v>
      </x:c>
      <x:c r="B14" s="11" t="str">
        <x:v>DataViewStructure</x:v>
      </x:c>
      <x:c r="C14" s="11" t="str">
        <x:v>Tenant / reference</x:v>
      </x:c>
      <x:c r="D14" s="11" t="str">
        <x:v>SQL</x:v>
      </x:c>
      <x:c r="E14" s="13" t="str">
        <x:v>database-scripts/production-seed/02-parent-master/001-shared-master-data.sql</x:v>
      </x:c>
      <x:c r="F14" s="11" t="n">
        <x:v>2</x:v>
      </x:c>
      <x:c r="G14" s="11" t="n">
        <x:v>2</x:v>
      </x:c>
      <x:c r="H14" s="19" t="str">
        <x:f>IF(F14=G14,"MATCH","DIFF")</x:f>
        <x:v>MATCH</x:v>
      </x:c>
      <x:c r="I14" s="11" t="n">
        <x:v>1</x:v>
      </x:c>
      <x:c r="J14" s="13" t="str"/>
    </x:row>
    <x:row r="15">
      <x:c r="A15" s="11" t="n">
        <x:v>9</x:v>
      </x:c>
      <x:c r="B15" s="11" t="str">
        <x:v>DefaultEmailConfig</x:v>
      </x:c>
      <x:c r="C15" s="11" t="str">
        <x:v>Email</x:v>
      </x:c>
      <x:c r="D15" s="11" t="str">
        <x:v>SQL</x:v>
      </x:c>
      <x:c r="E15" s="13" t="str">
        <x:v>database-scripts/production-seed/04-access-and-host/001-modules-operations-two-host-admins.sql</x:v>
      </x:c>
      <x:c r="F15" s="11" t="n">
        <x:v>2</x:v>
      </x:c>
      <x:c r="G15" s="11" t="n">
        <x:v>2</x:v>
      </x:c>
      <x:c r="H15" s="19" t="str">
        <x:f>IF(F15=G15,"MATCH","DIFF")</x:f>
        <x:v>MATCH</x:v>
      </x:c>
      <x:c r="I15" s="11" t="n">
        <x:v>1</x:v>
      </x:c>
      <x:c r="J15" s="13" t="str"/>
    </x:row>
    <x:row r="16">
      <x:c r="A16" s="11" t="n">
        <x:v>10</x:v>
      </x:c>
      <x:c r="B16" s="11" t="str">
        <x:v>District</x:v>
      </x:c>
      <x:c r="C16" s="11" t="str">
        <x:v>Geography / statutory</x:v>
      </x:c>
      <x:c r="D16" s="11" t="str">
        <x:v>SQL</x:v>
      </x:c>
      <x:c r="E16" s="13" t="str">
        <x:v>database-scripts/production-seed/03-geography/001-four-country-postal-catalog.sql</x:v>
      </x:c>
      <x:c r="F16" s="11" t="n">
        <x:v>9305</x:v>
      </x:c>
      <x:c r="G16" s="11" t="n">
        <x:v>13007</x:v>
      </x:c>
      <x:c r="H16" s="21" t="str">
        <x:f>IF(F16=G16,"MATCH","DIFF")</x:f>
        <x:v>DIFF</x:v>
      </x:c>
      <x:c r="I16" s="11" t="n">
        <x:v>5</x:v>
      </x:c>
      <x:c r="J16" s="13" t="str">
        <x:v>High-volume geography catalog; refer to authoritative SQL source.</x:v>
      </x:c>
    </x:row>
    <x:row r="17">
      <x:c r="A17" s="11" t="n">
        <x:v>11</x:v>
      </x:c>
      <x:c r="B17" s="11" t="str">
        <x:v>EmailTemplate</x:v>
      </x:c>
      <x:c r="C17" s="11" t="str">
        <x:v>Email</x:v>
      </x:c>
      <x:c r="D17" s="11" t="str">
        <x:v>SQL</x:v>
      </x:c>
      <x:c r="E17" s="13" t="str">
        <x:v>database-scripts/production-seed/02-parent-master/001-shared-master-data.sql</x:v>
      </x:c>
      <x:c r="F17" s="11" t="n">
        <x:v>5</x:v>
      </x:c>
      <x:c r="G17" s="11" t="n">
        <x:v>5</x:v>
      </x:c>
      <x:c r="H17" s="19" t="str">
        <x:f>IF(F17=G17,"MATCH","DIFF")</x:f>
        <x:v>MATCH</x:v>
      </x:c>
      <x:c r="I17" s="11" t="n">
        <x:v>1</x:v>
      </x:c>
      <x:c r="J17" s="13" t="str"/>
    </x:row>
    <x:row r="18">
      <x:c r="A18" s="11" t="n">
        <x:v>12</x:v>
      </x:c>
      <x:c r="B18" s="11" t="str">
        <x:v>EmployeeType</x:v>
      </x:c>
      <x:c r="C18" s="11" t="str">
        <x:v>Employee / organisation</x:v>
      </x:c>
      <x:c r="D18" s="11" t="str">
        <x:v>SQL</x:v>
      </x:c>
      <x:c r="E18" s="13" t="str">
        <x:v>database-scripts/production-seed/02-parent-master/001-shared-master-data.sql</x:v>
      </x:c>
      <x:c r="F18" s="11" t="n">
        <x:v>9</x:v>
      </x:c>
      <x:c r="G18" s="11" t="n">
        <x:v>7</x:v>
      </x:c>
      <x:c r="H18" s="21" t="str">
        <x:f>IF(F18=G18,"MATCH","DIFF")</x:f>
        <x:v>DIFF</x:v>
      </x:c>
      <x:c r="I18" s="11" t="n">
        <x:v>2</x:v>
      </x:c>
      <x:c r="J18" s="13" t="str"/>
    </x:row>
    <x:row r="19">
      <x:c r="A19" s="11" t="n">
        <x:v>13</x:v>
      </x:c>
      <x:c r="B19" s="11" t="str">
        <x:v>EmployeeTypeBasicMenu</x:v>
      </x:c>
      <x:c r="C19" s="11" t="str">
        <x:v>Employee / organisation</x:v>
      </x:c>
      <x:c r="D19" s="11" t="str">
        <x:v>SQL</x:v>
      </x:c>
      <x:c r="E19" s="13" t="str">
        <x:v>database-scripts/AddTenantEmployeeTypes.sql</x:v>
      </x:c>
      <x:c r="F19" s="11" t="n">
        <x:v>0</x:v>
      </x:c>
      <x:c r="G19" s="11" t="n">
        <x:v>0</x:v>
      </x:c>
      <x:c r="H19" s="19" t="str">
        <x:f>IF(F19=G19,"MATCH","DIFF")</x:f>
        <x:v>MATCH</x:v>
      </x:c>
      <x:c r="I19" s="11" t="n">
        <x:v>1</x:v>
      </x:c>
      <x:c r="J19" s="13" t="str"/>
    </x:row>
    <x:row r="20">
      <x:c r="A20" s="11" t="n">
        <x:v>14</x:v>
      </x:c>
      <x:c r="B20" s="11" t="str">
        <x:v>Gender</x:v>
      </x:c>
      <x:c r="C20" s="11" t="str">
        <x:v>Employee / organisation</x:v>
      </x:c>
      <x:c r="D20" s="11" t="str">
        <x:v>SQL</x:v>
      </x:c>
      <x:c r="E20" s="13" t="str">
        <x:v>database-scripts/production-seed/02-parent-master/001-shared-master-data.sql</x:v>
      </x:c>
      <x:c r="F20" s="11" t="n">
        <x:v>3</x:v>
      </x:c>
      <x:c r="G20" s="11" t="n">
        <x:v>3</x:v>
      </x:c>
      <x:c r="H20" s="19" t="str">
        <x:f>IF(F20=G20,"MATCH","DIFF")</x:f>
        <x:v>MATCH</x:v>
      </x:c>
      <x:c r="I20" s="11" t="n">
        <x:v>1</x:v>
      </x:c>
      <x:c r="J20" s="13" t="str"/>
    </x:row>
    <x:row r="21">
      <x:c r="A21" s="11" t="n">
        <x:v>15</x:v>
      </x:c>
      <x:c r="B21" s="11" t="str">
        <x:v>Holiday</x:v>
      </x:c>
      <x:c r="C21" s="11" t="str">
        <x:v>Tenant / reference</x:v>
      </x:c>
      <x:c r="D21" s="11" t="str">
        <x:v>SQL</x:v>
      </x:c>
      <x:c r="E21" s="13" t="str">
        <x:v>database-scripts/SeedTechNovaHolidayCalendar2026.sql</x:v>
      </x:c>
      <x:c r="F21" s="11" t="n">
        <x:v>31</x:v>
      </x:c>
      <x:c r="G21" s="11" t="n">
        <x:v>31</x:v>
      </x:c>
      <x:c r="H21" s="19" t="str">
        <x:f>IF(F21=G21,"MATCH","DIFF")</x:f>
        <x:v>MATCH</x:v>
      </x:c>
      <x:c r="I21" s="11" t="n">
        <x:v>1</x:v>
      </x:c>
      <x:c r="J21" s="13" t="str"/>
    </x:row>
    <x:row r="22">
      <x:c r="A22" s="11" t="n">
        <x:v>16</x:v>
      </x:c>
      <x:c r="B22" s="11" t="str">
        <x:v>HostBillingConfiguration</x:v>
      </x:c>
      <x:c r="C22" s="11" t="str">
        <x:v>Billing / subscription</x:v>
      </x:c>
      <x:c r="D22" s="11" t="str">
        <x:v>SQL</x:v>
      </x:c>
      <x:c r="E22" s="13" t="str">
        <x:v>database-scripts/AddSubscriptionBillingFoundation.sql</x:v>
      </x:c>
      <x:c r="F22" s="11" t="n">
        <x:v>1</x:v>
      </x:c>
      <x:c r="G22" s="11" t="n">
        <x:v>1</x:v>
      </x:c>
      <x:c r="H22" s="19" t="str">
        <x:f>IF(F22=G22,"MATCH","DIFF")</x:f>
        <x:v>MATCH</x:v>
      </x:c>
      <x:c r="I22" s="11" t="n">
        <x:v>1</x:v>
      </x:c>
      <x:c r="J22" s="13" t="str"/>
    </x:row>
    <x:row r="23">
      <x:c r="A23" s="11" t="n">
        <x:v>17</x:v>
      </x:c>
      <x:c r="B23" s="11" t="str">
        <x:v>HostRole</x:v>
      </x:c>
      <x:c r="C23" s="11" t="str">
        <x:v>Access / navigation</x:v>
      </x:c>
      <x:c r="D23" s="11" t="str">
        <x:v>SQL</x:v>
      </x:c>
      <x:c r="E23" s="13" t="str">
        <x:v>database-scripts/production-seed/04-access-and-host/001-modules-operations-two-host-admins.sql</x:v>
      </x:c>
      <x:c r="F23" s="11" t="n">
        <x:v>1</x:v>
      </x:c>
      <x:c r="G23" s="11" t="n">
        <x:v>1</x:v>
      </x:c>
      <x:c r="H23" s="19" t="str">
        <x:f>IF(F23=G23,"MATCH","DIFF")</x:f>
        <x:v>MATCH</x:v>
      </x:c>
      <x:c r="I23" s="11" t="n">
        <x:v>1</x:v>
      </x:c>
      <x:c r="J23" s="13" t="str"/>
    </x:row>
    <x:row r="24">
      <x:c r="A24" s="11" t="n">
        <x:v>18</x:v>
      </x:c>
      <x:c r="B24" s="11" t="str">
        <x:v>HostRoleModuleAndPermission</x:v>
      </x:c>
      <x:c r="C24" s="11" t="str">
        <x:v>Access / navigation</x:v>
      </x:c>
      <x:c r="D24" s="11" t="str">
        <x:v>SQL</x:v>
      </x:c>
      <x:c r="E24" s="13" t="str">
        <x:v>database-scripts/production-seed/04-access-and-host/001-modules-operations-two-host-admins.sql</x:v>
      </x:c>
      <x:c r="F24" s="11" t="n">
        <x:v>110</x:v>
      </x:c>
      <x:c r="G24" s="11" t="n">
        <x:v>110</x:v>
      </x:c>
      <x:c r="H24" s="19" t="str">
        <x:f>IF(F24=G24,"MATCH","DIFF")</x:f>
        <x:v>MATCH</x:v>
      </x:c>
      <x:c r="I24" s="11" t="n">
        <x:v>4</x:v>
      </x:c>
      <x:c r="J24" s="13" t="str"/>
    </x:row>
    <x:row r="25">
      <x:c r="A25" s="11" t="n">
        <x:v>19</x:v>
      </x:c>
      <x:c r="B25" s="11" t="str">
        <x:v>HostUser</x:v>
      </x:c>
      <x:c r="C25" s="11" t="str">
        <x:v>Access / navigation</x:v>
      </x:c>
      <x:c r="D25" s="11" t="str">
        <x:v>SQL</x:v>
      </x:c>
      <x:c r="E25" s="13" t="str">
        <x:v>database-scripts/production-seed/04-access-and-host/001-modules-operations-two-host-admins.sql</x:v>
      </x:c>
      <x:c r="F25" s="11" t="n">
        <x:v>2</x:v>
      </x:c>
      <x:c r="G25" s="11" t="n">
        <x:v>2</x:v>
      </x:c>
      <x:c r="H25" s="19" t="str">
        <x:f>IF(F25=G25,"MATCH","DIFF")</x:f>
        <x:v>MATCH</x:v>
      </x:c>
      <x:c r="I25" s="11" t="n">
        <x:v>1</x:v>
      </x:c>
      <x:c r="J25" s="13" t="str"/>
    </x:row>
    <x:row r="26">
      <x:c r="A26" s="11" t="n">
        <x:v>20</x:v>
      </x:c>
      <x:c r="B26" s="11" t="str">
        <x:v>IdentityCategory</x:v>
      </x:c>
      <x:c r="C26" s="11" t="str">
        <x:v>Employee / organisation</x:v>
      </x:c>
      <x:c r="D26" s="11" t="str">
        <x:v>SQL</x:v>
      </x:c>
      <x:c r="E26" s="13" t="str">
        <x:v>database-scripts/production-seed/02-parent-master/001-shared-master-data.sql</x:v>
      </x:c>
      <x:c r="F26" s="11" t="n">
        <x:v>4</x:v>
      </x:c>
      <x:c r="G26" s="11" t="n">
        <x:v>4</x:v>
      </x:c>
      <x:c r="H26" s="19" t="str">
        <x:f>IF(F26=G26,"MATCH","DIFF")</x:f>
        <x:v>MATCH</x:v>
      </x:c>
      <x:c r="I26" s="11" t="n">
        <x:v>2</x:v>
      </x:c>
      <x:c r="J26" s="13" t="str"/>
    </x:row>
    <x:row r="27">
      <x:c r="A27" s="11" t="n">
        <x:v>21</x:v>
      </x:c>
      <x:c r="B27" s="11" t="str">
        <x:v>IdentityCategoryDocument</x:v>
      </x:c>
      <x:c r="C27" s="11" t="str">
        <x:v>Employee / organisation</x:v>
      </x:c>
      <x:c r="D27" s="11" t="str">
        <x:v>SQL</x:v>
      </x:c>
      <x:c r="E27" s="13" t="str">
        <x:v>database-scripts/production-seed/02-parent-master/001-shared-master-data.sql</x:v>
      </x:c>
      <x:c r="F27" s="11" t="n">
        <x:v>12</x:v>
      </x:c>
      <x:c r="G27" s="11" t="n">
        <x:v>12</x:v>
      </x:c>
      <x:c r="H27" s="19" t="str">
        <x:f>IF(F27=G27,"MATCH","DIFF")</x:f>
        <x:v>MATCH</x:v>
      </x:c>
      <x:c r="I27" s="11" t="n">
        <x:v>2</x:v>
      </x:c>
      <x:c r="J27" s="13" t="str"/>
    </x:row>
    <x:row r="28">
      <x:c r="A28" s="11" t="n">
        <x:v>22</x:v>
      </x:c>
      <x:c r="B28" s="11" t="str">
        <x:v>LeaveType</x:v>
      </x:c>
      <x:c r="C28" s="11" t="str">
        <x:v>Policy</x:v>
      </x:c>
      <x:c r="D28" s="11" t="str">
        <x:v>SQL</x:v>
      </x:c>
      <x:c r="E28" s="13" t="str">
        <x:v>database-scripts/AddPolicyLeaveTypeTargeting.sql</x:v>
      </x:c>
      <x:c r="F28" s="11" t="n">
        <x:v>8</x:v>
      </x:c>
      <x:c r="G28" s="11" t="n">
        <x:v>8</x:v>
      </x:c>
      <x:c r="H28" s="19" t="str">
        <x:f>IF(F28=G28,"MATCH","DIFF")</x:f>
        <x:v>MATCH</x:v>
      </x:c>
      <x:c r="I28" s="11" t="n">
        <x:v>1</x:v>
      </x:c>
      <x:c r="J28" s="13" t="str"/>
    </x:row>
    <x:row r="29">
      <x:c r="A29" s="11" t="n">
        <x:v>23</x:v>
      </x:c>
      <x:c r="B29" s="11" t="str">
        <x:v>Locality</x:v>
      </x:c>
      <x:c r="C29" s="11" t="str">
        <x:v>Geography / statutory</x:v>
      </x:c>
      <x:c r="D29" s="11" t="str">
        <x:v>SQL</x:v>
      </x:c>
      <x:c r="E29" s="13" t="str">
        <x:v>database-scripts/production-seed/03-geography/001-four-country-postal-catalog.sql</x:v>
      </x:c>
      <x:c r="F29" s="11" t="n">
        <x:v>187520</x:v>
      </x:c>
      <x:c r="G29" s="11" t="n">
        <x:v>252306</x:v>
      </x:c>
      <x:c r="H29" s="21" t="str">
        <x:f>IF(F29=G29,"MATCH","DIFF")</x:f>
        <x:v>DIFF</x:v>
      </x:c>
      <x:c r="I29" s="11" t="n">
        <x:v>2</x:v>
      </x:c>
      <x:c r="J29" s="13" t="str">
        <x:v>High-volume geography catalog; refer to authoritative SQL source.</x:v>
      </x:c>
    </x:row>
    <x:row r="30">
      <x:c r="A30" s="11" t="n">
        <x:v>24</x:v>
      </x:c>
      <x:c r="B30" s="11" t="str">
        <x:v>LocalityType</x:v>
      </x:c>
      <x:c r="C30" s="11" t="str">
        <x:v>Geography / statutory</x:v>
      </x:c>
      <x:c r="D30" s="11" t="str">
        <x:v>SQL</x:v>
      </x:c>
      <x:c r="E30" s="13" t="str">
        <x:v>database-scripts/production-seed/02-parent-master/001-shared-master-data.sql</x:v>
      </x:c>
      <x:c r="F30" s="11" t="n">
        <x:v>4</x:v>
      </x:c>
      <x:c r="G30" s="11" t="n">
        <x:v>4</x:v>
      </x:c>
      <x:c r="H30" s="19" t="str">
        <x:f>IF(F30=G30,"MATCH","DIFF")</x:f>
        <x:v>MATCH</x:v>
      </x:c>
      <x:c r="I30" s="11" t="n">
        <x:v>3</x:v>
      </x:c>
      <x:c r="J30" s="13" t="str"/>
    </x:row>
    <x:row r="31">
      <x:c r="A31" s="11" t="n">
        <x:v>25</x:v>
      </x:c>
      <x:c r="B31" s="11" t="str">
        <x:v>Module</x:v>
      </x:c>
      <x:c r="C31" s="11" t="str">
        <x:v>Access / navigation</x:v>
      </x:c>
      <x:c r="D31" s="11" t="str">
        <x:v>SQL</x:v>
      </x:c>
      <x:c r="E31" s="13" t="str">
        <x:v>database-scripts/production-seed/04-access-and-host/001-modules-operations-two-host-admins.sql</x:v>
      </x:c>
      <x:c r="F31" s="11" t="n">
        <x:v>89</x:v>
      </x:c>
      <x:c r="G31" s="11" t="n">
        <x:v>89</x:v>
      </x:c>
      <x:c r="H31" s="19" t="str">
        <x:f>IF(F31=G31,"MATCH","DIFF")</x:f>
        <x:v>MATCH</x:v>
      </x:c>
      <x:c r="I31" s="11" t="n">
        <x:v>8</x:v>
      </x:c>
      <x:c r="J31" s="13" t="str"/>
    </x:row>
    <x:row r="32">
      <x:c r="A32" s="11" t="n">
        <x:v>26</x:v>
      </x:c>
      <x:c r="B32" s="11" t="str">
        <x:v>ModuleOperationMapping</x:v>
      </x:c>
      <x:c r="C32" s="11" t="str">
        <x:v>Access / navigation</x:v>
      </x:c>
      <x:c r="D32" s="11" t="str">
        <x:v>SQL</x:v>
      </x:c>
      <x:c r="E32" s="13" t="str">
        <x:v>database-scripts/production-seed/04-access-and-host/001-modules-operations-two-host-admins.sql</x:v>
      </x:c>
      <x:c r="F32" s="11" t="n">
        <x:v>326</x:v>
      </x:c>
      <x:c r="G32" s="11" t="n">
        <x:v>326</x:v>
      </x:c>
      <x:c r="H32" s="19" t="str">
        <x:f>IF(F32=G32,"MATCH","DIFF")</x:f>
        <x:v>MATCH</x:v>
      </x:c>
      <x:c r="I32" s="11" t="n">
        <x:v>11</x:v>
      </x:c>
      <x:c r="J32" s="13" t="str"/>
    </x:row>
    <x:row r="33">
      <x:c r="A33" s="11" t="n">
        <x:v>27</x:v>
      </x:c>
      <x:c r="B33" s="11" t="str">
        <x:v>Operation</x:v>
      </x:c>
      <x:c r="C33" s="11" t="str">
        <x:v>Access / navigation</x:v>
      </x:c>
      <x:c r="D33" s="11" t="str">
        <x:v>SQL</x:v>
      </x:c>
      <x:c r="E33" s="13" t="str">
        <x:v>database-scripts/production-seed/04-access-and-host/001-modules-operations-two-host-admins.sql</x:v>
      </x:c>
      <x:c r="F33" s="11" t="n">
        <x:v>27</x:v>
      </x:c>
      <x:c r="G33" s="11" t="n">
        <x:v>27</x:v>
      </x:c>
      <x:c r="H33" s="19" t="str">
        <x:f>IF(F33=G33,"MATCH","DIFF")</x:f>
        <x:v>MATCH</x:v>
      </x:c>
      <x:c r="I33" s="11" t="n">
        <x:v>5</x:v>
      </x:c>
      <x:c r="J33" s="13" t="str"/>
    </x:row>
    <x:row r="34">
      <x:c r="A34" s="11" t="n">
        <x:v>28</x:v>
      </x:c>
      <x:c r="B34" s="11" t="str">
        <x:v>PageTypeEnum</x:v>
      </x:c>
      <x:c r="C34" s="11" t="str">
        <x:v>Access / navigation</x:v>
      </x:c>
      <x:c r="D34" s="11" t="str">
        <x:v>SQL</x:v>
      </x:c>
      <x:c r="E34" s="13" t="str">
        <x:v>database-scripts/production-seed/02-parent-master/001-shared-master-data.sql</x:v>
      </x:c>
      <x:c r="F34" s="11" t="n">
        <x:v>5</x:v>
      </x:c>
      <x:c r="G34" s="11" t="n">
        <x:v>5</x:v>
      </x:c>
      <x:c r="H34" s="19" t="str">
        <x:f>IF(F34=G34,"MATCH","DIFF")</x:f>
        <x:v>MATCH</x:v>
      </x:c>
      <x:c r="I34" s="11" t="n">
        <x:v>1</x:v>
      </x:c>
      <x:c r="J34" s="13" t="str"/>
    </x:row>
    <x:row r="35">
      <x:c r="A35" s="11" t="n">
        <x:v>29</x:v>
      </x:c>
      <x:c r="B35" s="11" t="str">
        <x:v>PaymentGateway</x:v>
      </x:c>
      <x:c r="C35" s="11" t="str">
        <x:v>Billing / subscription</x:v>
      </x:c>
      <x:c r="D35" s="11" t="str">
        <x:v>SQL</x:v>
      </x:c>
      <x:c r="E35" s="13" t="str">
        <x:v>database-scripts/AddSubscriptionBillingFoundation.sql</x:v>
      </x:c>
      <x:c r="F35" s="11" t="n">
        <x:v>1</x:v>
      </x:c>
      <x:c r="G35" s="11" t="n">
        <x:v>1</x:v>
      </x:c>
      <x:c r="H35" s="19" t="str">
        <x:f>IF(F35=G35,"MATCH","DIFF")</x:f>
        <x:v>MATCH</x:v>
      </x:c>
      <x:c r="I35" s="11" t="n">
        <x:v>1</x:v>
      </x:c>
      <x:c r="J35" s="13" t="str"/>
    </x:row>
    <x:row r="36">
      <x:c r="A36" s="11" t="n">
        <x:v>30</x:v>
      </x:c>
      <x:c r="B36" s="11" t="str">
        <x:v>PlanModuleMapping</x:v>
      </x:c>
      <x:c r="C36" s="11" t="str">
        <x:v>Access / navigation</x:v>
      </x:c>
      <x:c r="D36" s="11" t="str">
        <x:v>SQL</x:v>
      </x:c>
      <x:c r="E36" s="13" t="str">
        <x:v>database-scripts/production-seed/04-access-and-host/001-modules-operations-two-host-admins.sql</x:v>
      </x:c>
      <x:c r="F36" s="11" t="n">
        <x:v>180</x:v>
      </x:c>
      <x:c r="G36" s="11" t="n">
        <x:v>135</x:v>
      </x:c>
      <x:c r="H36" s="21" t="str">
        <x:f>IF(F36=G36,"MATCH","DIFF")</x:f>
        <x:v>DIFF</x:v>
      </x:c>
      <x:c r="I36" s="11" t="n">
        <x:v>6</x:v>
      </x:c>
      <x:c r="J36" s="13" t="str"/>
    </x:row>
    <x:row r="37">
      <x:c r="A37" s="11" t="n">
        <x:v>31</x:v>
      </x:c>
      <x:c r="B37" s="11" t="str">
        <x:v>PolicyCategory</x:v>
      </x:c>
      <x:c r="C37" s="11" t="str">
        <x:v>Policy</x:v>
      </x:c>
      <x:c r="D37" s="11" t="str">
        <x:v>SQL</x:v>
      </x:c>
      <x:c r="E37" s="13" t="str">
        <x:v>database-scripts/production-seed/02-parent-master/001-shared-master-data.sql</x:v>
      </x:c>
      <x:c r="F37" s="11" t="n">
        <x:v>12</x:v>
      </x:c>
      <x:c r="G37" s="11" t="n">
        <x:v>12</x:v>
      </x:c>
      <x:c r="H37" s="19" t="str">
        <x:f>IF(F37=G37,"MATCH","DIFF")</x:f>
        <x:v>MATCH</x:v>
      </x:c>
      <x:c r="I37" s="11" t="n">
        <x:v>2</x:v>
      </x:c>
      <x:c r="J37" s="13" t="str"/>
    </x:row>
    <x:row r="38">
      <x:c r="A38" s="11" t="n">
        <x:v>32</x:v>
      </x:c>
      <x:c r="B38" s="11" t="str">
        <x:v>PolicyCategoryRuleType</x:v>
      </x:c>
      <x:c r="C38" s="11" t="str">
        <x:v>Policy</x:v>
      </x:c>
      <x:c r="D38" s="11" t="str">
        <x:v>SQL</x:v>
      </x:c>
      <x:c r="E38" s="13" t="str">
        <x:v>database-scripts/AddGenericPolicyRuleMetadata.sql</x:v>
      </x:c>
      <x:c r="F38" s="11" t="n">
        <x:v>40</x:v>
      </x:c>
      <x:c r="G38" s="11" t="n">
        <x:v>40</x:v>
      </x:c>
      <x:c r="H38" s="19" t="str">
        <x:f>IF(F38=G38,"MATCH","DIFF")</x:f>
        <x:v>MATCH</x:v>
      </x:c>
      <x:c r="I38" s="11" t="n">
        <x:v>1</x:v>
      </x:c>
      <x:c r="J38" s="13" t="str"/>
    </x:row>
    <x:row r="39">
      <x:c r="A39" s="11" t="n">
        <x:v>33</x:v>
      </x:c>
      <x:c r="B39" s="11" t="str">
        <x:v>PolicyDocumentType</x:v>
      </x:c>
      <x:c r="C39" s="11" t="str">
        <x:v>Policy</x:v>
      </x:c>
      <x:c r="D39" s="11" t="str">
        <x:v>SQL</x:v>
      </x:c>
      <x:c r="E39" s="13" t="str">
        <x:v>database-scripts/production-seed/02-parent-master/001-shared-master-data.sql</x:v>
      </x:c>
      <x:c r="F39" s="11" t="n">
        <x:v>5</x:v>
      </x:c>
      <x:c r="G39" s="11" t="n">
        <x:v>5</x:v>
      </x:c>
      <x:c r="H39" s="19" t="str">
        <x:f>IF(F39=G39,"MATCH","DIFF")</x:f>
        <x:v>MATCH</x:v>
      </x:c>
      <x:c r="I39" s="11" t="n">
        <x:v>2</x:v>
      </x:c>
      <x:c r="J39" s="13" t="str"/>
    </x:row>
    <x:row r="40">
      <x:c r="A40" s="11" t="n">
        <x:v>34</x:v>
      </x:c>
      <x:c r="B40" s="11" t="str">
        <x:v>PolicyRuleSettingDefinition</x:v>
      </x:c>
      <x:c r="C40" s="11" t="str">
        <x:v>Policy</x:v>
      </x:c>
      <x:c r="D40" s="11" t="str">
        <x:v>SQL</x:v>
      </x:c>
      <x:c r="E40" s="13" t="str">
        <x:v>database-scripts/AddGenericPolicyRuleMetadata.sql</x:v>
      </x:c>
      <x:c r="F40" s="11" t="n">
        <x:v>29</x:v>
      </x:c>
      <x:c r="G40" s="11" t="n">
        <x:v>29</x:v>
      </x:c>
      <x:c r="H40" s="19" t="str">
        <x:f>IF(F40=G40,"MATCH","DIFF")</x:f>
        <x:v>MATCH</x:v>
      </x:c>
      <x:c r="I40" s="11" t="n">
        <x:v>1</x:v>
      </x:c>
      <x:c r="J40" s="13" t="str"/>
    </x:row>
    <x:row r="41">
      <x:c r="A41" s="11" t="n">
        <x:v>35</x:v>
      </x:c>
      <x:c r="B41" s="11" t="str">
        <x:v>PolicyRuleSettingDependency</x:v>
      </x:c>
      <x:c r="C41" s="11" t="str">
        <x:v>Policy</x:v>
      </x:c>
      <x:c r="D41" s="11" t="str">
        <x:v>SQL</x:v>
      </x:c>
      <x:c r="E41" s="13" t="str">
        <x:v>database-scripts/AddGenericPolicyRuleMetadata.sql</x:v>
      </x:c>
      <x:c r="F41" s="11" t="n">
        <x:v>5</x:v>
      </x:c>
      <x:c r="G41" s="11" t="n">
        <x:v>5</x:v>
      </x:c>
      <x:c r="H41" s="19" t="str">
        <x:f>IF(F41=G41,"MATCH","DIFF")</x:f>
        <x:v>MATCH</x:v>
      </x:c>
      <x:c r="I41" s="11" t="n">
        <x:v>1</x:v>
      </x:c>
      <x:c r="J41" s="13" t="str"/>
    </x:row>
    <x:row r="42">
      <x:c r="A42" s="11" t="n">
        <x:v>36</x:v>
      </x:c>
      <x:c r="B42" s="11" t="str">
        <x:v>PolicyRuleSettingOption</x:v>
      </x:c>
      <x:c r="C42" s="11" t="str">
        <x:v>Policy</x:v>
      </x:c>
      <x:c r="D42" s="11" t="str">
        <x:v>SQL</x:v>
      </x:c>
      <x:c r="E42" s="13" t="str">
        <x:v>database-scripts/AddGenericPolicyRuleMetadata.sql</x:v>
      </x:c>
      <x:c r="F42" s="11" t="n">
        <x:v>10</x:v>
      </x:c>
      <x:c r="G42" s="11" t="n">
        <x:v>10</x:v>
      </x:c>
      <x:c r="H42" s="19" t="str">
        <x:f>IF(F42=G42,"MATCH","DIFF")</x:f>
        <x:v>MATCH</x:v>
      </x:c>
      <x:c r="I42" s="11" t="n">
        <x:v>1</x:v>
      </x:c>
      <x:c r="J42" s="13" t="str"/>
    </x:row>
    <x:row r="43">
      <x:c r="A43" s="11" t="n">
        <x:v>37</x:v>
      </x:c>
      <x:c r="B43" s="11" t="str">
        <x:v>PolicyRuleType</x:v>
      </x:c>
      <x:c r="C43" s="11" t="str">
        <x:v>Policy</x:v>
      </x:c>
      <x:c r="D43" s="11" t="str">
        <x:v>SQL</x:v>
      </x:c>
      <x:c r="E43" s="13" t="str">
        <x:v>database-scripts/production-seed/02-parent-master/001-shared-master-data.sql</x:v>
      </x:c>
      <x:c r="F43" s="11" t="n">
        <x:v>13</x:v>
      </x:c>
      <x:c r="G43" s="11" t="n">
        <x:v>13</x:v>
      </x:c>
      <x:c r="H43" s="19" t="str">
        <x:f>IF(F43=G43,"MATCH","DIFF")</x:f>
        <x:v>MATCH</x:v>
      </x:c>
      <x:c r="I43" s="11" t="n">
        <x:v>2</x:v>
      </x:c>
      <x:c r="J43" s="13" t="str"/>
    </x:row>
    <x:row r="44">
      <x:c r="A44" s="11" t="n">
        <x:v>38</x:v>
      </x:c>
      <x:c r="B44" s="11" t="str">
        <x:v>PolicyStatus</x:v>
      </x:c>
      <x:c r="C44" s="11" t="str">
        <x:v>Policy</x:v>
      </x:c>
      <x:c r="D44" s="11" t="str">
        <x:v>SQL</x:v>
      </x:c>
      <x:c r="E44" s="13" t="str">
        <x:v>database-scripts/production-seed/02-parent-master/001-shared-master-data.sql</x:v>
      </x:c>
      <x:c r="F44" s="11" t="n">
        <x:v>7</x:v>
      </x:c>
      <x:c r="G44" s="11" t="n">
        <x:v>7</x:v>
      </x:c>
      <x:c r="H44" s="19" t="str">
        <x:f>IF(F44=G44,"MATCH","DIFF")</x:f>
        <x:v>MATCH</x:v>
      </x:c>
      <x:c r="I44" s="11" t="n">
        <x:v>2</x:v>
      </x:c>
      <x:c r="J44" s="13" t="str"/>
    </x:row>
    <x:row r="45">
      <x:c r="A45" s="11" t="n">
        <x:v>39</x:v>
      </x:c>
      <x:c r="B45" s="11" t="str">
        <x:v>RoleModuleAndPermission</x:v>
      </x:c>
      <x:c r="C45" s="11" t="str">
        <x:v>Access / navigation</x:v>
      </x:c>
      <x:c r="D45" s="11" t="str">
        <x:v>SQL</x:v>
      </x:c>
      <x:c r="E45" s="13" t="str">
        <x:v>database-scripts/production-seed/04-access-and-host/001-modules-operations-two-host-admins.sql</x:v>
      </x:c>
      <x:c r="F45" s="11" t="n">
        <x:v>211</x:v>
      </x:c>
      <x:c r="G45" s="11" t="n">
        <x:v>211</x:v>
      </x:c>
      <x:c r="H45" s="19" t="str">
        <x:f>IF(F45=G45,"MATCH","DIFF")</x:f>
        <x:v>MATCH</x:v>
      </x:c>
      <x:c r="I45" s="11" t="n">
        <x:v>4</x:v>
      </x:c>
      <x:c r="J45" s="13" t="str"/>
    </x:row>
    <x:row r="46">
      <x:c r="A46" s="11" t="n">
        <x:v>40</x:v>
      </x:c>
      <x:c r="B46" s="11" t="str">
        <x:v>State</x:v>
      </x:c>
      <x:c r="C46" s="11" t="str">
        <x:v>Geography / statutory</x:v>
      </x:c>
      <x:c r="D46" s="11" t="str">
        <x:v>SQL</x:v>
      </x:c>
      <x:c r="E46" s="13" t="str">
        <x:v>database-scripts/production-seed/03-geography/001-four-country-postal-catalog.sql</x:v>
      </x:c>
      <x:c r="F46" s="11" t="n">
        <x:v>88</x:v>
      </x:c>
      <x:c r="G46" s="11" t="n">
        <x:v>3874</x:v>
      </x:c>
      <x:c r="H46" s="21" t="str">
        <x:f>IF(F46=G46,"MATCH","DIFF")</x:f>
        <x:v>DIFF</x:v>
      </x:c>
      <x:c r="I46" s="11" t="n">
        <x:v>4</x:v>
      </x:c>
      <x:c r="J46" s="13" t="str">
        <x:v>High-volume geography catalog; refer to authoritative SQL source.</x:v>
      </x:c>
    </x:row>
    <x:row r="47">
      <x:c r="A47" s="11" t="n">
        <x:v>41</x:v>
      </x:c>
      <x:c r="B47" s="11" t="str">
        <x:v>StatutoryType</x:v>
      </x:c>
      <x:c r="C47" s="11" t="str">
        <x:v>Geography / statutory</x:v>
      </x:c>
      <x:c r="D47" s="11" t="str">
        <x:v>SQL</x:v>
      </x:c>
      <x:c r="E47" s="13" t="str">
        <x:v>database-scripts/production-seed/03-geography/002-country-regulatory-master.sql</x:v>
      </x:c>
      <x:c r="F47" s="11" t="n">
        <x:v>11</x:v>
      </x:c>
      <x:c r="G47" s="11" t="n">
        <x:v>22</x:v>
      </x:c>
      <x:c r="H47" s="21" t="str">
        <x:f>IF(F47=G47,"MATCH","DIFF")</x:f>
        <x:v>DIFF</x:v>
      </x:c>
      <x:c r="I47" s="11" t="n">
        <x:v>1</x:v>
      </x:c>
      <x:c r="J47" s="13" t="str"/>
    </x:row>
    <x:row r="48">
      <x:c r="A48" s="11" t="n">
        <x:v>42</x:v>
      </x:c>
      <x:c r="B48" s="11" t="str">
        <x:v>SubscriptionPlan</x:v>
      </x:c>
      <x:c r="C48" s="11" t="str">
        <x:v>Billing / subscription</x:v>
      </x:c>
      <x:c r="D48" s="11" t="str">
        <x:v>SQL</x:v>
      </x:c>
      <x:c r="E48" s="13" t="str">
        <x:v>database-scripts/production-seed/02-parent-master/001-shared-master-data.sql</x:v>
      </x:c>
      <x:c r="F48" s="11" t="n">
        <x:v>15</x:v>
      </x:c>
      <x:c r="G48" s="11" t="n">
        <x:v>15</x:v>
      </x:c>
      <x:c r="H48" s="19" t="str">
        <x:f>IF(F48=G48,"MATCH","DIFF")</x:f>
        <x:v>MATCH</x:v>
      </x:c>
      <x:c r="I48" s="11" t="n">
        <x:v>1</x:v>
      </x:c>
      <x:c r="J48" s="13" t="str"/>
    </x:row>
    <x:row r="49">
      <x:c r="A49" s="11" t="n">
        <x:v>43</x:v>
      </x:c>
      <x:c r="B49" s="11" t="str">
        <x:v>TenantEmailTemplate</x:v>
      </x:c>
      <x:c r="C49" s="11" t="str">
        <x:v>Email</x:v>
      </x:c>
      <x:c r="D49" s="11" t="str">
        <x:v>SQL</x:v>
      </x:c>
      <x:c r="E49" s="13" t="str">
        <x:v>database-scripts/production-seed/04-access-and-host/001-modules-operations-two-host-admins.sql</x:v>
      </x:c>
      <x:c r="F49" s="11" t="n">
        <x:v>5</x:v>
      </x:c>
      <x:c r="G49" s="11" t="n">
        <x:v>0</x:v>
      </x:c>
      <x:c r="H49" s="21" t="str">
        <x:f>IF(F49=G49,"MATCH","DIFF")</x:f>
        <x:v>DIFF</x:v>
      </x:c>
      <x:c r="I49" s="11" t="n">
        <x:v>2</x:v>
      </x:c>
      <x:c r="J49" s="13" t="str"/>
    </x:row>
    <x:row r="50">
      <x:c r="A50" s="11" t="n">
        <x:v>44</x:v>
      </x:c>
      <x:c r="B50" s="11" t="str">
        <x:v>TenantEnabledModule</x:v>
      </x:c>
      <x:c r="C50" s="11" t="str">
        <x:v>Access / navigation</x:v>
      </x:c>
      <x:c r="D50" s="11" t="str">
        <x:v>SQL</x:v>
      </x:c>
      <x:c r="E50" s="13" t="str">
        <x:v>database-scripts/production-seed/04-access-and-host/001-modules-operations-two-host-admins.sql</x:v>
      </x:c>
      <x:c r="F50" s="11" t="n">
        <x:v>54</x:v>
      </x:c>
      <x:c r="G50" s="11" t="n">
        <x:v>54</x:v>
      </x:c>
      <x:c r="H50" s="19" t="str">
        <x:f>IF(F50=G50,"MATCH","DIFF")</x:f>
        <x:v>MATCH</x:v>
      </x:c>
      <x:c r="I50" s="11" t="n">
        <x:v>2</x:v>
      </x:c>
      <x:c r="J50" s="13" t="str"/>
    </x:row>
    <x:row r="51">
      <x:c r="A51" s="11" t="n">
        <x:v>45</x:v>
      </x:c>
      <x:c r="B51" s="11" t="str">
        <x:v>TenantEnabledOperation</x:v>
      </x:c>
      <x:c r="C51" s="11" t="str">
        <x:v>Access / navigation</x:v>
      </x:c>
      <x:c r="D51" s="11" t="str">
        <x:v>SQL</x:v>
      </x:c>
      <x:c r="E51" s="13" t="str">
        <x:v>database-scripts/production-seed/04-access-and-host/001-modules-operations-two-host-admins.sql</x:v>
      </x:c>
      <x:c r="F51" s="11" t="n">
        <x:v>211</x:v>
      </x:c>
      <x:c r="G51" s="11" t="n">
        <x:v>211</x:v>
      </x:c>
      <x:c r="H51" s="19" t="str">
        <x:f>IF(F51=G51,"MATCH","DIFF")</x:f>
        <x:v>MATCH</x:v>
      </x:c>
      <x:c r="I51" s="11" t="n">
        <x:v>6</x:v>
      </x:c>
      <x:c r="J51" s="13" t="str"/>
    </x:row>
    <x:row r="52">
      <x:c r="A52" s="11" t="n">
        <x:v>46</x:v>
      </x:c>
      <x:c r="B52" s="11" t="str">
        <x:v>TenantIndustry</x:v>
      </x:c>
      <x:c r="C52" s="11" t="str">
        <x:v>Tenant / reference</x:v>
      </x:c>
      <x:c r="D52" s="11" t="str">
        <x:v>SQL</x:v>
      </x:c>
      <x:c r="E52" s="13" t="str">
        <x:v>database-scripts/production-seed/02-parent-master/001-shared-master-data.sql</x:v>
      </x:c>
      <x:c r="F52" s="11" t="n">
        <x:v>5</x:v>
      </x:c>
      <x:c r="G52" s="11" t="n">
        <x:v>5</x:v>
      </x:c>
      <x:c r="H52" s="19" t="str">
        <x:f>IF(F52=G52,"MATCH","DIFF")</x:f>
        <x:v>MATCH</x:v>
      </x:c>
      <x:c r="I52" s="11" t="n">
        <x:v>1</x:v>
      </x:c>
      <x:c r="J52" s="13" t="str"/>
    </x:row>
    <x:row r="53">
      <x:c r="A53" s="11" t="n">
        <x:v>47</x:v>
      </x:c>
      <x:c r="B53" s="11" t="str">
        <x:v>TenantLocation</x:v>
      </x:c>
      <x:c r="C53" s="11" t="str">
        <x:v>Tenant / reference</x:v>
      </x:c>
      <x:c r="D53" s="11" t="str">
        <x:v>SQL</x:v>
      </x:c>
      <x:c r="E53" s="13" t="str">
        <x:v>database-scripts/SeedTechNovaHolidayCalendar2026.sql</x:v>
      </x:c>
      <x:c r="F53" s="11" t="n">
        <x:v>1</x:v>
      </x:c>
      <x:c r="G53" s="11" t="n">
        <x:v>1</x:v>
      </x:c>
      <x:c r="H53" s="19" t="str">
        <x:f>IF(F53=G53,"MATCH","DIFF")</x:f>
        <x:v>MATCH</x:v>
      </x:c>
      <x:c r="I53" s="11" t="n">
        <x:v>1</x:v>
      </x:c>
      <x:c r="J53" s="13" t="str"/>
    </x:row>
    <x:row r="54">
      <x:c r="A54" s="11" t="n">
        <x:v>48</x:v>
      </x:c>
      <x:c r="B54" s="11" t="str">
        <x:v>TenderStatus</x:v>
      </x:c>
      <x:c r="C54" s="11" t="str">
        <x:v>Tenant / reference</x:v>
      </x:c>
      <x:c r="D54" s="11" t="str">
        <x:v>SQL</x:v>
      </x:c>
      <x:c r="E54" s="13" t="str">
        <x:v>database-scripts/production-seed/02-parent-master/001-shared-master-data.sql</x:v>
      </x:c>
      <x:c r="F54" s="11" t="n">
        <x:v>5</x:v>
      </x:c>
      <x:c r="G54" s="11" t="n">
        <x:v>5</x:v>
      </x:c>
      <x:c r="H54" s="19" t="str">
        <x:f>IF(F54=G54,"MATCH","DIFF")</x:f>
        <x:v>MATCH</x:v>
      </x:c>
      <x:c r="I54" s="11" t="n">
        <x:v>1</x:v>
      </x:c>
      <x:c r="J54" s="13" t="str"/>
    </x:row>
    <x:row r="55">
      <x:c r="A55" s="11" t="n">
        <x:v>49</x:v>
      </x:c>
      <x:c r="B55" s="11" t="str">
        <x:v>Department</x:v>
      </x:c>
      <x:c r="C55" s="11" t="str">
        <x:v>Employee / organisation</x:v>
      </x:c>
      <x:c r="D55" s="11" t="str">
        <x:v>Runtime</x:v>
      </x:c>
      <x:c r="E55" s="13" t="str">
        <x:v>axionpro.infrastructure/SeedHelpers/DepartmentSeedHelper.cs → DepartmentRepository.AutoCreateDepartmentSeedAsync</x:v>
      </x:c>
      <x:c r="F55" s="11" t="n">
        <x:v>4</x:v>
      </x:c>
      <x:c r="G55" s="11" t="n">
        <x:v>4</x:v>
      </x:c>
      <x:c r="H55" s="19" t="str">
        <x:f>IF(F55=G55,"MATCH","DIFF")</x:f>
        <x:v>MATCH</x:v>
      </x:c>
      <x:c r="I55" s="11" t="n">
        <x:v>1</x:v>
      </x:c>
      <x:c r="J55" s="13" t="str"/>
    </x:row>
    <x:row r="56">
      <x:c r="A56" s="12" t="n">
        <x:v>50</x:v>
      </x:c>
      <x:c r="B56" s="12" t="str">
        <x:v>Designation</x:v>
      </x:c>
      <x:c r="C56" s="12" t="str">
        <x:v>Employee / organisation</x:v>
      </x:c>
      <x:c r="D56" s="12" t="str">
        <x:v>Runtime</x:v>
      </x:c>
      <x:c r="E56" s="14" t="str">
        <x:v>axionpro.infrastructure/SeedHelpers/DesignationsSeedHelper.cs → DesignationRepository</x:v>
      </x:c>
      <x:c r="F56" s="12" t="n">
        <x:v>3</x:v>
      </x:c>
      <x:c r="G56" s="12" t="n">
        <x:v>3</x:v>
      </x:c>
      <x:c r="H56" s="22" t="str">
        <x:f>IF(F56=G56,"MATCH","DIFF")</x:f>
        <x:v>MATCH</x:v>
      </x:c>
      <x:c r="I56" s="12" t="n">
        <x:v>1</x:v>
      </x:c>
      <x:c r="J56" s="14" t="str"/>
    </x:row>
  </x:sheetData>
  <x:mergeCells>
    <x:mergeCell ref="A2:J2"/>
    <x:mergeCell ref="A3:J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7" hidden="0" customWidth="1"/>
    <x:col min="2" max="2" width="35" hidden="0" customWidth="1"/>
    <x:col min="3" max="3" width="18" hidden="0" customWidth="1"/>
    <x:col min="4" max="4" width="100" hidden="0" customWidth="1"/>
    <x:col min="5" max="5" width="20" hidden="0" customWidth="1"/>
  </x:cols>
  <x:sheetData>
    <x:row r="2">
      <x:c r="A2" s="1" t="str">
        <x:v>Seed source mapping</x:v>
      </x:c>
    </x:row>
    <x:row r="3">
      <x:c r="A3" s="2" t="str">
        <x:v>Every identified table-to-source relationship, including canonical, incremental and runtime seeding.</x:v>
      </x:c>
    </x:row>
    <x:row r="4">
      <x:c r="A4" s="3"/>
      <x:c r="B4" s="3"/>
      <x:c r="C4" s="3"/>
      <x:c r="D4" s="3"/>
      <x:c r="E4" s="3"/>
    </x:row>
    <x:row r="6">
      <x:c r="A6" s="8" t="str">
        <x:v>#</x:v>
      </x:c>
      <x:c r="B6" s="8" t="str">
        <x:v>Table</x:v>
      </x:c>
      <x:c r="C6" s="8" t="str">
        <x:v>Source type</x:v>
      </x:c>
      <x:c r="D6" s="8" t="str">
        <x:v>Source / method</x:v>
      </x:c>
      <x:c r="E6" s="8" t="str">
        <x:v>Role</x:v>
      </x:c>
    </x:row>
    <x:row r="7">
      <x:c r="A7" s="11" t="n">
        <x:v>1</x:v>
      </x:c>
      <x:c r="B7" s="11" t="str">
        <x:v>AttendanceDeviceType</x:v>
      </x:c>
      <x:c r="C7" s="11" t="str">
        <x:v>SQL file</x:v>
      </x:c>
      <x:c r="D7" s="13" t="str">
        <x:v>database-scripts/AddEmployeeAttendancePunch.sql</x:v>
      </x:c>
      <x:c r="E7" s="11" t="str">
        <x:v>Incremental SQL</x:v>
      </x:c>
    </x:row>
    <x:row r="8">
      <x:c r="A8" s="11" t="n">
        <x:v>2</x:v>
      </x:c>
      <x:c r="B8" s="11" t="str">
        <x:v>AttendanceDeviceType</x:v>
      </x:c>
      <x:c r="C8" s="11" t="str">
        <x:v>SQL file</x:v>
      </x:c>
      <x:c r="D8" s="13" t="str">
        <x:v>database-scripts/production-seed/02-parent-master/001-shared-master-data.sql</x:v>
      </x:c>
      <x:c r="E8" s="11" t="str">
        <x:v>Canonical SQL</x:v>
      </x:c>
    </x:row>
    <x:row r="9">
      <x:c r="A9" s="11" t="n">
        <x:v>3</x:v>
      </x:c>
      <x:c r="B9" s="11" t="str">
        <x:v>AttendanceDeviceType</x:v>
      </x:c>
      <x:c r="C9" s="11" t="str">
        <x:v>SQL file</x:v>
      </x:c>
      <x:c r="D9" s="13" t="str">
        <x:v>database-scripts/ReplaceAttendanceChannelWithDeviceType.sql</x:v>
      </x:c>
      <x:c r="E9" s="11" t="str">
        <x:v>Incremental SQL</x:v>
      </x:c>
    </x:row>
    <x:row r="10">
      <x:c r="A10" s="11" t="n">
        <x:v>4</x:v>
      </x:c>
      <x:c r="B10" s="11" t="str">
        <x:v>AttendancePolicyVersionConfiguration</x:v>
      </x:c>
      <x:c r="C10" s="11" t="str">
        <x:v>SQL file</x:v>
      </x:c>
      <x:c r="D10" s="13" t="str">
        <x:v>database-scripts/AddAttendancePolicyVersionConfiguration.sql</x:v>
      </x:c>
      <x:c r="E10" s="11" t="str">
        <x:v>Incremental SQL</x:v>
      </x:c>
    </x:row>
    <x:row r="11">
      <x:c r="A11" s="11" t="n">
        <x:v>5</x:v>
      </x:c>
      <x:c r="B11" s="11" t="str">
        <x:v>BillingTaxRule</x:v>
      </x:c>
      <x:c r="C11" s="11" t="str">
        <x:v>SQL file</x:v>
      </x:c>
      <x:c r="D11" s="13" t="str">
        <x:v>database-scripts/AddSubscriptionBillingFoundation.sql</x:v>
      </x:c>
      <x:c r="E11" s="11" t="str">
        <x:v>Incremental SQL</x:v>
      </x:c>
    </x:row>
    <x:row r="12">
      <x:c r="A12" s="11" t="n">
        <x:v>6</x:v>
      </x:c>
      <x:c r="B12" s="11" t="str">
        <x:v>ClientType</x:v>
      </x:c>
      <x:c r="C12" s="11" t="str">
        <x:v>SQL file</x:v>
      </x:c>
      <x:c r="D12" s="13" t="str">
        <x:v>database-scripts/production-seed/02-parent-master/001-shared-master-data.sql</x:v>
      </x:c>
      <x:c r="E12" s="11" t="str">
        <x:v>Canonical SQL</x:v>
      </x:c>
    </x:row>
    <x:row r="13">
      <x:c r="A13" s="11" t="n">
        <x:v>7</x:v>
      </x:c>
      <x:c r="B13" s="11" t="str">
        <x:v>ComplianceTypeMaster</x:v>
      </x:c>
      <x:c r="C13" s="11" t="str">
        <x:v>SQL file</x:v>
      </x:c>
      <x:c r="D13" s="13" t="str">
        <x:v>database-scripts/production-seed/03-geography/002-country-regulatory-master.sql</x:v>
      </x:c>
      <x:c r="E13" s="11" t="str">
        <x:v>Canonical SQL</x:v>
      </x:c>
    </x:row>
    <x:row r="14">
      <x:c r="A14" s="11" t="n">
        <x:v>8</x:v>
      </x:c>
      <x:c r="B14" s="11" t="str">
        <x:v>Country</x:v>
      </x:c>
      <x:c r="C14" s="11" t="str">
        <x:v>SQL file</x:v>
      </x:c>
      <x:c r="D14" s="13" t="str">
        <x:v>database-scripts/production-seed/03-geography/000-iso-country-catalog.sql</x:v>
      </x:c>
      <x:c r="E14" s="11" t="str">
        <x:v>Canonical SQL</x:v>
      </x:c>
    </x:row>
    <x:row r="15">
      <x:c r="A15" s="11" t="n">
        <x:v>9</x:v>
      </x:c>
      <x:c r="B15" s="11" t="str">
        <x:v>Country</x:v>
      </x:c>
      <x:c r="C15" s="11" t="str">
        <x:v>SQL file</x:v>
      </x:c>
      <x:c r="D15" s="13" t="str">
        <x:v>database-scripts/production-seed/03-geography/001-four-country-postal-catalog.sql</x:v>
      </x:c>
      <x:c r="E15" s="11" t="str">
        <x:v>Canonical SQL</x:v>
      </x:c>
    </x:row>
    <x:row r="16">
      <x:c r="A16" s="11" t="n">
        <x:v>10</x:v>
      </x:c>
      <x:c r="B16" s="11" t="str">
        <x:v>Country</x:v>
      </x:c>
      <x:c r="C16" s="11" t="str">
        <x:v>SQL file</x:v>
      </x:c>
      <x:c r="D16" s="13" t="str">
        <x:v>database-scripts/ResetIndiaChinaFullLocationCatalog.sql</x:v>
      </x:c>
      <x:c r="E16" s="11" t="str">
        <x:v>Incremental SQL</x:v>
      </x:c>
    </x:row>
    <x:row r="17">
      <x:c r="A17" s="11" t="n">
        <x:v>11</x:v>
      </x:c>
      <x:c r="B17" s="11" t="str">
        <x:v>CountryIdentityRule</x:v>
      </x:c>
      <x:c r="C17" s="11" t="str">
        <x:v>SQL file</x:v>
      </x:c>
      <x:c r="D17" s="13" t="str">
        <x:v>database-scripts/production-seed/05-dependent-master/001-employee-identity-catalog.sql</x:v>
      </x:c>
      <x:c r="E17" s="11" t="str">
        <x:v>Canonical SQL</x:v>
      </x:c>
    </x:row>
    <x:row r="18">
      <x:c r="A18" s="11" t="n">
        <x:v>12</x:v>
      </x:c>
      <x:c r="B18" s="11" t="str">
        <x:v>DataViewStructure</x:v>
      </x:c>
      <x:c r="C18" s="11" t="str">
        <x:v>SQL file</x:v>
      </x:c>
      <x:c r="D18" s="13" t="str">
        <x:v>database-scripts/production-seed/02-parent-master/001-shared-master-data.sql</x:v>
      </x:c>
      <x:c r="E18" s="11" t="str">
        <x:v>Canonical SQL</x:v>
      </x:c>
    </x:row>
    <x:row r="19">
      <x:c r="A19" s="11" t="n">
        <x:v>13</x:v>
      </x:c>
      <x:c r="B19" s="11" t="str">
        <x:v>DefaultEmailConfig</x:v>
      </x:c>
      <x:c r="C19" s="11" t="str">
        <x:v>SQL file</x:v>
      </x:c>
      <x:c r="D19" s="13" t="str">
        <x:v>database-scripts/production-seed/04-access-and-host/001-modules-operations-two-host-admins.sql</x:v>
      </x:c>
      <x:c r="E19" s="11" t="str">
        <x:v>Canonical SQL</x:v>
      </x:c>
    </x:row>
    <x:row r="20">
      <x:c r="A20" s="11" t="n">
        <x:v>14</x:v>
      </x:c>
      <x:c r="B20" s="11" t="str">
        <x:v>District</x:v>
      </x:c>
      <x:c r="C20" s="11" t="str">
        <x:v>SQL file</x:v>
      </x:c>
      <x:c r="D20" s="13" t="str">
        <x:v>database-scripts/production-seed/03-geography/001-four-country-postal-catalog.sql</x:v>
      </x:c>
      <x:c r="E20" s="11" t="str">
        <x:v>Canonical SQL</x:v>
      </x:c>
    </x:row>
    <x:row r="21">
      <x:c r="A21" s="11" t="n">
        <x:v>15</x:v>
      </x:c>
      <x:c r="B21" s="11" t="str">
        <x:v>District</x:v>
      </x:c>
      <x:c r="C21" s="11" t="str">
        <x:v>SQL file</x:v>
      </x:c>
      <x:c r="D21" s="13" t="str">
        <x:v>database-scripts/RenameCityToLocality.sql</x:v>
      </x:c>
      <x:c r="E21" s="11" t="str">
        <x:v>Incremental SQL</x:v>
      </x:c>
    </x:row>
    <x:row r="22">
      <x:c r="A22" s="11" t="n">
        <x:v>16</x:v>
      </x:c>
      <x:c r="B22" s="11" t="str">
        <x:v>District</x:v>
      </x:c>
      <x:c r="C22" s="11" t="str">
        <x:v>SQL file</x:v>
      </x:c>
      <x:c r="D22" s="13" t="str">
        <x:v>database-scripts/ResetIndiaChinaFullLocationCatalog.sql</x:v>
      </x:c>
      <x:c r="E22" s="11" t="str">
        <x:v>Incremental SQL</x:v>
      </x:c>
    </x:row>
    <x:row r="23">
      <x:c r="A23" s="11" t="n">
        <x:v>17</x:v>
      </x:c>
      <x:c r="B23" s="11" t="str">
        <x:v>District</x:v>
      </x:c>
      <x:c r="C23" s="11" t="str">
        <x:v>SQL file</x:v>
      </x:c>
      <x:c r="D23" s="13" t="str">
        <x:v>database-scripts/SeedUaeLocations.sql</x:v>
      </x:c>
      <x:c r="E23" s="11" t="str">
        <x:v>Incremental SQL</x:v>
      </x:c>
    </x:row>
    <x:row r="24">
      <x:c r="A24" s="11" t="n">
        <x:v>18</x:v>
      </x:c>
      <x:c r="B24" s="11" t="str">
        <x:v>District</x:v>
      </x:c>
      <x:c r="C24" s="11" t="str">
        <x:v>SQL file</x:v>
      </x:c>
      <x:c r="D24" s="13" t="str">
        <x:v>database-scripts/SyncDistrictsFromCities.sql</x:v>
      </x:c>
      <x:c r="E24" s="11" t="str">
        <x:v>Incremental SQL</x:v>
      </x:c>
    </x:row>
    <x:row r="25">
      <x:c r="A25" s="11" t="n">
        <x:v>19</x:v>
      </x:c>
      <x:c r="B25" s="11" t="str">
        <x:v>EmailTemplate</x:v>
      </x:c>
      <x:c r="C25" s="11" t="str">
        <x:v>SQL file</x:v>
      </x:c>
      <x:c r="D25" s="13" t="str">
        <x:v>database-scripts/production-seed/02-parent-master/001-shared-master-data.sql</x:v>
      </x:c>
      <x:c r="E25" s="11" t="str">
        <x:v>Canonical SQL</x:v>
      </x:c>
    </x:row>
    <x:row r="26">
      <x:c r="A26" s="11" t="n">
        <x:v>20</x:v>
      </x:c>
      <x:c r="B26" s="11" t="str">
        <x:v>EmployeeType</x:v>
      </x:c>
      <x:c r="C26" s="11" t="str">
        <x:v>SQL file</x:v>
      </x:c>
      <x:c r="D26" s="13" t="str">
        <x:v>database-scripts/AddTenantEmployeeTypes.sql</x:v>
      </x:c>
      <x:c r="E26" s="11" t="str">
        <x:v>Incremental SQL</x:v>
      </x:c>
    </x:row>
    <x:row r="27">
      <x:c r="A27" s="11" t="n">
        <x:v>21</x:v>
      </x:c>
      <x:c r="B27" s="11" t="str">
        <x:v>EmployeeType</x:v>
      </x:c>
      <x:c r="C27" s="11" t="str">
        <x:v>SQL file</x:v>
      </x:c>
      <x:c r="D27" s="13" t="str">
        <x:v>database-scripts/production-seed/02-parent-master/001-shared-master-data.sql</x:v>
      </x:c>
      <x:c r="E27" s="11" t="str">
        <x:v>Canonical SQL</x:v>
      </x:c>
    </x:row>
    <x:row r="28">
      <x:c r="A28" s="11" t="n">
        <x:v>22</x:v>
      </x:c>
      <x:c r="B28" s="11" t="str">
        <x:v>EmployeeTypeBasicMenu</x:v>
      </x:c>
      <x:c r="C28" s="11" t="str">
        <x:v>SQL file</x:v>
      </x:c>
      <x:c r="D28" s="13" t="str">
        <x:v>database-scripts/AddTenantEmployeeTypes.sql</x:v>
      </x:c>
      <x:c r="E28" s="11" t="str">
        <x:v>Incremental SQL</x:v>
      </x:c>
    </x:row>
    <x:row r="29">
      <x:c r="A29" s="11" t="n">
        <x:v>23</x:v>
      </x:c>
      <x:c r="B29" s="11" t="str">
        <x:v>Gender</x:v>
      </x:c>
      <x:c r="C29" s="11" t="str">
        <x:v>SQL file</x:v>
      </x:c>
      <x:c r="D29" s="13" t="str">
        <x:v>database-scripts/production-seed/02-parent-master/001-shared-master-data.sql</x:v>
      </x:c>
      <x:c r="E29" s="11" t="str">
        <x:v>Canonical SQL</x:v>
      </x:c>
    </x:row>
    <x:row r="30">
      <x:c r="A30" s="11" t="n">
        <x:v>24</x:v>
      </x:c>
      <x:c r="B30" s="11" t="str">
        <x:v>Holiday</x:v>
      </x:c>
      <x:c r="C30" s="11" t="str">
        <x:v>SQL file</x:v>
      </x:c>
      <x:c r="D30" s="13" t="str">
        <x:v>database-scripts/SeedTechNovaHolidayCalendar2026.sql</x:v>
      </x:c>
      <x:c r="E30" s="11" t="str">
        <x:v>Incremental SQL</x:v>
      </x:c>
    </x:row>
    <x:row r="31">
      <x:c r="A31" s="11" t="n">
        <x:v>25</x:v>
      </x:c>
      <x:c r="B31" s="11" t="str">
        <x:v>HostBillingConfiguration</x:v>
      </x:c>
      <x:c r="C31" s="11" t="str">
        <x:v>SQL file</x:v>
      </x:c>
      <x:c r="D31" s="13" t="str">
        <x:v>database-scripts/AddSubscriptionBillingFoundation.sql</x:v>
      </x:c>
      <x:c r="E31" s="11" t="str">
        <x:v>Incremental SQL</x:v>
      </x:c>
    </x:row>
    <x:row r="32">
      <x:c r="A32" s="11" t="n">
        <x:v>26</x:v>
      </x:c>
      <x:c r="B32" s="11" t="str">
        <x:v>HostRole</x:v>
      </x:c>
      <x:c r="C32" s="11" t="str">
        <x:v>SQL file</x:v>
      </x:c>
      <x:c r="D32" s="13" t="str">
        <x:v>database-scripts/production-seed/04-access-and-host/001-modules-operations-two-host-admins.sql</x:v>
      </x:c>
      <x:c r="E32" s="11" t="str">
        <x:v>Canonical SQL</x:v>
      </x:c>
    </x:row>
    <x:row r="33">
      <x:c r="A33" s="11" t="n">
        <x:v>27</x:v>
      </x:c>
      <x:c r="B33" s="11" t="str">
        <x:v>HostRoleModuleAndPermission</x:v>
      </x:c>
      <x:c r="C33" s="11" t="str">
        <x:v>SQL file</x:v>
      </x:c>
      <x:c r="D33" s="13" t="str">
        <x:v>database-scripts/production-seed/04-access-and-host/001-modules-operations-two-host-admins.sql</x:v>
      </x:c>
      <x:c r="E33" s="11" t="str">
        <x:v>Canonical SQL</x:v>
      </x:c>
    </x:row>
    <x:row r="34">
      <x:c r="A34" s="11" t="n">
        <x:v>28</x:v>
      </x:c>
      <x:c r="B34" s="11" t="str">
        <x:v>HostRoleModuleAndPermission</x:v>
      </x:c>
      <x:c r="C34" s="11" t="str">
        <x:v>SQL file</x:v>
      </x:c>
      <x:c r="D34" s="13" t="str">
        <x:v>database-scripts/SeedHostBillingConfigurationModule.sql</x:v>
      </x:c>
      <x:c r="E34" s="11" t="str">
        <x:v>Incremental SQL</x:v>
      </x:c>
    </x:row>
    <x:row r="35">
      <x:c r="A35" s="11" t="n">
        <x:v>29</x:v>
      </x:c>
      <x:c r="B35" s="11" t="str">
        <x:v>HostRoleModuleAndPermission</x:v>
      </x:c>
      <x:c r="C35" s="11" t="str">
        <x:v>SQL file</x:v>
      </x:c>
      <x:c r="D35" s="13" t="str">
        <x:v>database-scripts/SeedHostBulkImportModules.sql</x:v>
      </x:c>
      <x:c r="E35" s="11" t="str">
        <x:v>Incremental SQL</x:v>
      </x:c>
    </x:row>
    <x:row r="36">
      <x:c r="A36" s="11" t="n">
        <x:v>30</x:v>
      </x:c>
      <x:c r="B36" s="11" t="str">
        <x:v>HostRoleModuleAndPermission</x:v>
      </x:c>
      <x:c r="C36" s="11" t="str">
        <x:v>SQL file</x:v>
      </x:c>
      <x:c r="D36" s="13" t="str">
        <x:v>database-scripts/TenantCardMaster_EmployeeDeviceCredential_Upgrade.sql</x:v>
      </x:c>
      <x:c r="E36" s="11" t="str">
        <x:v>Incremental SQL</x:v>
      </x:c>
    </x:row>
    <x:row r="37">
      <x:c r="A37" s="11" t="n">
        <x:v>31</x:v>
      </x:c>
      <x:c r="B37" s="11" t="str">
        <x:v>HostUser</x:v>
      </x:c>
      <x:c r="C37" s="11" t="str">
        <x:v>SQL file</x:v>
      </x:c>
      <x:c r="D37" s="13" t="str">
        <x:v>database-scripts/production-seed/04-access-and-host/001-modules-operations-two-host-admins.sql</x:v>
      </x:c>
      <x:c r="E37" s="11" t="str">
        <x:v>Canonical SQL</x:v>
      </x:c>
    </x:row>
    <x:row r="38">
      <x:c r="A38" s="11" t="n">
        <x:v>32</x:v>
      </x:c>
      <x:c r="B38" s="11" t="str">
        <x:v>IdentityCategory</x:v>
      </x:c>
      <x:c r="C38" s="11" t="str">
        <x:v>SQL file</x:v>
      </x:c>
      <x:c r="D38" s="13" t="str">
        <x:v>database-scripts/production-seed/02-parent-master/001-shared-master-data.sql</x:v>
      </x:c>
      <x:c r="E38" s="11" t="str">
        <x:v>Canonical SQL</x:v>
      </x:c>
    </x:row>
    <x:row r="39">
      <x:c r="A39" s="11" t="n">
        <x:v>33</x:v>
      </x:c>
      <x:c r="B39" s="11" t="str">
        <x:v>IdentityCategory</x:v>
      </x:c>
      <x:c r="C39" s="11" t="str">
        <x:v>SQL file</x:v>
      </x:c>
      <x:c r="D39" s="13" t="str">
        <x:v>database-scripts/production-seed/05-dependent-master/001-employee-identity-catalog.sql</x:v>
      </x:c>
      <x:c r="E39" s="11" t="str">
        <x:v>Canonical SQL</x:v>
      </x:c>
    </x:row>
    <x:row r="40">
      <x:c r="A40" s="11" t="n">
        <x:v>34</x:v>
      </x:c>
      <x:c r="B40" s="11" t="str">
        <x:v>IdentityCategoryDocument</x:v>
      </x:c>
      <x:c r="C40" s="11" t="str">
        <x:v>SQL file</x:v>
      </x:c>
      <x:c r="D40" s="13" t="str">
        <x:v>database-scripts/production-seed/02-parent-master/001-shared-master-data.sql</x:v>
      </x:c>
      <x:c r="E40" s="11" t="str">
        <x:v>Canonical SQL</x:v>
      </x:c>
    </x:row>
    <x:row r="41">
      <x:c r="A41" s="11" t="n">
        <x:v>35</x:v>
      </x:c>
      <x:c r="B41" s="11" t="str">
        <x:v>IdentityCategoryDocument</x:v>
      </x:c>
      <x:c r="C41" s="11" t="str">
        <x:v>SQL file</x:v>
      </x:c>
      <x:c r="D41" s="13" t="str">
        <x:v>database-scripts/production-seed/05-dependent-master/001-employee-identity-catalog.sql</x:v>
      </x:c>
      <x:c r="E41" s="11" t="str">
        <x:v>Canonical SQL</x:v>
      </x:c>
    </x:row>
    <x:row r="42">
      <x:c r="A42" s="11" t="n">
        <x:v>36</x:v>
      </x:c>
      <x:c r="B42" s="11" t="str">
        <x:v>LeaveType</x:v>
      </x:c>
      <x:c r="C42" s="11" t="str">
        <x:v>SQL file</x:v>
      </x:c>
      <x:c r="D42" s="13" t="str">
        <x:v>database-scripts/AddPolicyLeaveTypeTargeting.sql</x:v>
      </x:c>
      <x:c r="E42" s="11" t="str">
        <x:v>Incremental SQL</x:v>
      </x:c>
    </x:row>
    <x:row r="43">
      <x:c r="A43" s="11" t="n">
        <x:v>37</x:v>
      </x:c>
      <x:c r="B43" s="11" t="str">
        <x:v>Locality</x:v>
      </x:c>
      <x:c r="C43" s="11" t="str">
        <x:v>SQL file</x:v>
      </x:c>
      <x:c r="D43" s="13" t="str">
        <x:v>database-scripts/production-seed/03-geography/001-four-country-postal-catalog.sql</x:v>
      </x:c>
      <x:c r="E43" s="11" t="str">
        <x:v>Canonical SQL</x:v>
      </x:c>
    </x:row>
    <x:row r="44">
      <x:c r="A44" s="11" t="n">
        <x:v>38</x:v>
      </x:c>
      <x:c r="B44" s="11" t="str">
        <x:v>Locality</x:v>
      </x:c>
      <x:c r="C44" s="11" t="str">
        <x:v>SQL file</x:v>
      </x:c>
      <x:c r="D44" s="13" t="str">
        <x:v>database-scripts/SeedUaeLocations.sql</x:v>
      </x:c>
      <x:c r="E44" s="11" t="str">
        <x:v>Incremental SQL</x:v>
      </x:c>
    </x:row>
    <x:row r="45">
      <x:c r="A45" s="11" t="n">
        <x:v>39</x:v>
      </x:c>
      <x:c r="B45" s="11" t="str">
        <x:v>LocalityType</x:v>
      </x:c>
      <x:c r="C45" s="11" t="str">
        <x:v>SQL file</x:v>
      </x:c>
      <x:c r="D45" s="13" t="str">
        <x:v>database-scripts/production-seed/02-parent-master/001-shared-master-data.sql</x:v>
      </x:c>
      <x:c r="E45" s="11" t="str">
        <x:v>Canonical SQL</x:v>
      </x:c>
    </x:row>
    <x:row r="46">
      <x:c r="A46" s="11" t="n">
        <x:v>40</x:v>
      </x:c>
      <x:c r="B46" s="11" t="str">
        <x:v>LocalityType</x:v>
      </x:c>
      <x:c r="C46" s="11" t="str">
        <x:v>SQL file</x:v>
      </x:c>
      <x:c r="D46" s="13" t="str">
        <x:v>database-scripts/production-seed/03-geography/001-four-country-postal-catalog.sql</x:v>
      </x:c>
      <x:c r="E46" s="11" t="str">
        <x:v>Canonical SQL</x:v>
      </x:c>
    </x:row>
    <x:row r="47">
      <x:c r="A47" s="11" t="n">
        <x:v>41</x:v>
      </x:c>
      <x:c r="B47" s="11" t="str">
        <x:v>LocalityType</x:v>
      </x:c>
      <x:c r="C47" s="11" t="str">
        <x:v>SQL file</x:v>
      </x:c>
      <x:c r="D47" s="13" t="str">
        <x:v>database-scripts/RenameCityToLocality.sql</x:v>
      </x:c>
      <x:c r="E47" s="11" t="str">
        <x:v>Incremental SQL</x:v>
      </x:c>
    </x:row>
    <x:row r="48">
      <x:c r="A48" s="11" t="n">
        <x:v>42</x:v>
      </x:c>
      <x:c r="B48" s="11" t="str">
        <x:v>Module</x:v>
      </x:c>
      <x:c r="C48" s="11" t="str">
        <x:v>SQL file</x:v>
      </x:c>
      <x:c r="D48" s="13" t="str">
        <x:v>database-scripts/complete-seed/AxionPro_New_Production_Module_Operation_Seed.sql</x:v>
      </x:c>
      <x:c r="E48" s="11" t="str">
        <x:v>Full seed</x:v>
      </x:c>
    </x:row>
    <x:row r="49">
      <x:c r="A49" s="11" t="n">
        <x:v>43</x:v>
      </x:c>
      <x:c r="B49" s="11" t="str">
        <x:v>Module</x:v>
      </x:c>
      <x:c r="C49" s="11" t="str">
        <x:v>SQL file</x:v>
      </x:c>
      <x:c r="D49" s="13" t="str">
        <x:v>database-scripts/complete-seed/SeedTenantPolicyModules.sql</x:v>
      </x:c>
      <x:c r="E49" s="11" t="str">
        <x:v>Full seed</x:v>
      </x:c>
    </x:row>
    <x:row r="50">
      <x:c r="A50" s="11" t="n">
        <x:v>44</x:v>
      </x:c>
      <x:c r="B50" s="11" t="str">
        <x:v>Module</x:v>
      </x:c>
      <x:c r="C50" s="11" t="str">
        <x:v>SQL file</x:v>
      </x:c>
      <x:c r="D50" s="13" t="str">
        <x:v>database-scripts/production-seed/04-access-and-host/001-modules-operations-two-host-admins.sql</x:v>
      </x:c>
      <x:c r="E50" s="11" t="str">
        <x:v>Canonical SQL</x:v>
      </x:c>
    </x:row>
    <x:row r="51">
      <x:c r="A51" s="11" t="n">
        <x:v>45</x:v>
      </x:c>
      <x:c r="B51" s="11" t="str">
        <x:v>Module</x:v>
      </x:c>
      <x:c r="C51" s="11" t="str">
        <x:v>SQL file</x:v>
      </x:c>
      <x:c r="D51" s="13" t="str">
        <x:v>database-scripts/SeedBulkImportModules.sql</x:v>
      </x:c>
      <x:c r="E51" s="11" t="str">
        <x:v>Incremental SQL</x:v>
      </x:c>
    </x:row>
    <x:row r="52">
      <x:c r="A52" s="11" t="n">
        <x:v>46</x:v>
      </x:c>
      <x:c r="B52" s="11" t="str">
        <x:v>Module</x:v>
      </x:c>
      <x:c r="C52" s="11" t="str">
        <x:v>SQL file</x:v>
      </x:c>
      <x:c r="D52" s="13" t="str">
        <x:v>database-scripts/SeedHostBillingConfigurationModule.sql</x:v>
      </x:c>
      <x:c r="E52" s="11" t="str">
        <x:v>Incremental SQL</x:v>
      </x:c>
    </x:row>
    <x:row r="53">
      <x:c r="A53" s="11" t="n">
        <x:v>47</x:v>
      </x:c>
      <x:c r="B53" s="11" t="str">
        <x:v>Module</x:v>
      </x:c>
      <x:c r="C53" s="11" t="str">
        <x:v>SQL file</x:v>
      </x:c>
      <x:c r="D53" s="13" t="str">
        <x:v>database-scripts/SeedTenantEmailTemplate.sql</x:v>
      </x:c>
      <x:c r="E53" s="11" t="str">
        <x:v>Incremental SQL</x:v>
      </x:c>
    </x:row>
    <x:row r="54">
      <x:c r="A54" s="11" t="n">
        <x:v>48</x:v>
      </x:c>
      <x:c r="B54" s="11" t="str">
        <x:v>Module</x:v>
      </x:c>
      <x:c r="C54" s="11" t="str">
        <x:v>SQL file</x:v>
      </x:c>
      <x:c r="D54" s="13" t="str">
        <x:v>database-scripts/SeedTenantEmployeeTypeModule.sql</x:v>
      </x:c>
      <x:c r="E54" s="11" t="str">
        <x:v>Incremental SQL</x:v>
      </x:c>
    </x:row>
    <x:row r="55">
      <x:c r="A55" s="11" t="n">
        <x:v>49</x:v>
      </x:c>
      <x:c r="B55" s="11" t="str">
        <x:v>Module</x:v>
      </x:c>
      <x:c r="C55" s="11" t="str">
        <x:v>SQL file</x:v>
      </x:c>
      <x:c r="D55" s="13" t="str">
        <x:v>database-scripts/TenantCardMaster_EmployeeDeviceCredential_Upgrade.sql</x:v>
      </x:c>
      <x:c r="E55" s="11" t="str">
        <x:v>Incremental SQL</x:v>
      </x:c>
    </x:row>
    <x:row r="56">
      <x:c r="A56" s="11" t="n">
        <x:v>50</x:v>
      </x:c>
      <x:c r="B56" s="11" t="str">
        <x:v>ModuleOperationMapping</x:v>
      </x:c>
      <x:c r="C56" s="11" t="str">
        <x:v>SQL file</x:v>
      </x:c>
      <x:c r="D56" s="13" t="str">
        <x:v>database-scripts/complete-seed/AxionPro_New_Production_Module_Operation_Seed.sql</x:v>
      </x:c>
      <x:c r="E56" s="11" t="str">
        <x:v>Full seed</x:v>
      </x:c>
    </x:row>
    <x:row r="57">
      <x:c r="A57" s="11" t="n">
        <x:v>51</x:v>
      </x:c>
      <x:c r="B57" s="11" t="str">
        <x:v>ModuleOperationMapping</x:v>
      </x:c>
      <x:c r="C57" s="11" t="str">
        <x:v>SQL file</x:v>
      </x:c>
      <x:c r="D57" s="13" t="str">
        <x:v>database-scripts/complete-seed/SeedTenantPolicyModules.sql</x:v>
      </x:c>
      <x:c r="E57" s="11" t="str">
        <x:v>Full seed</x:v>
      </x:c>
    </x:row>
    <x:row r="58">
      <x:c r="A58" s="11" t="n">
        <x:v>52</x:v>
      </x:c>
      <x:c r="B58" s="11" t="str">
        <x:v>ModuleOperationMapping</x:v>
      </x:c>
      <x:c r="C58" s="11" t="str">
        <x:v>SQL file</x:v>
      </x:c>
      <x:c r="D58" s="13" t="str">
        <x:v>database-scripts/production-seed/04-access-and-host/001-modules-operations-two-host-admins.sql</x:v>
      </x:c>
      <x:c r="E58" s="11" t="str">
        <x:v>Canonical SQL</x:v>
      </x:c>
    </x:row>
    <x:row r="59">
      <x:c r="A59" s="11" t="n">
        <x:v>53</x:v>
      </x:c>
      <x:c r="B59" s="11" t="str">
        <x:v>ModuleOperationMapping</x:v>
      </x:c>
      <x:c r="C59" s="11" t="str">
        <x:v>SQL file</x:v>
      </x:c>
      <x:c r="D59" s="13" t="str">
        <x:v>database-scripts/MoveResetPasswordToEmployeeList.sql</x:v>
      </x:c>
      <x:c r="E59" s="11" t="str">
        <x:v>Incremental SQL</x:v>
      </x:c>
    </x:row>
    <x:row r="60">
      <x:c r="A60" s="11" t="n">
        <x:v>54</x:v>
      </x:c>
      <x:c r="B60" s="11" t="str">
        <x:v>ModuleOperationMapping</x:v>
      </x:c>
      <x:c r="C60" s="11" t="str">
        <x:v>SQL file</x:v>
      </x:c>
      <x:c r="D60" s="13" t="str">
        <x:v>database-scripts/RemoveDuplicateExportOperation.sql</x:v>
      </x:c>
      <x:c r="E60" s="11" t="str">
        <x:v>Incremental SQL</x:v>
      </x:c>
    </x:row>
    <x:row r="61">
      <x:c r="A61" s="11" t="n">
        <x:v>55</x:v>
      </x:c>
      <x:c r="B61" s="11" t="str">
        <x:v>ModuleOperationMapping</x:v>
      </x:c>
      <x:c r="C61" s="11" t="str">
        <x:v>SQL file</x:v>
      </x:c>
      <x:c r="D61" s="13" t="str">
        <x:v>database-scripts/SeedBulkImportModules.sql</x:v>
      </x:c>
      <x:c r="E61" s="11" t="str">
        <x:v>Incremental SQL</x:v>
      </x:c>
    </x:row>
    <x:row r="62">
      <x:c r="A62" s="11" t="n">
        <x:v>56</x:v>
      </x:c>
      <x:c r="B62" s="11" t="str">
        <x:v>ModuleOperationMapping</x:v>
      </x:c>
      <x:c r="C62" s="11" t="str">
        <x:v>SQL file</x:v>
      </x:c>
      <x:c r="D62" s="13" t="str">
        <x:v>database-scripts/SeedHostBillingConfigurationModule.sql</x:v>
      </x:c>
      <x:c r="E62" s="11" t="str">
        <x:v>Incremental SQL</x:v>
      </x:c>
    </x:row>
    <x:row r="63">
      <x:c r="A63" s="11" t="n">
        <x:v>57</x:v>
      </x:c>
      <x:c r="B63" s="11" t="str">
        <x:v>ModuleOperationMapping</x:v>
      </x:c>
      <x:c r="C63" s="11" t="str">
        <x:v>SQL file</x:v>
      </x:c>
      <x:c r="D63" s="13" t="str">
        <x:v>database-scripts/SeedHostBulkImportModules.sql</x:v>
      </x:c>
      <x:c r="E63" s="11" t="str">
        <x:v>Incremental SQL</x:v>
      </x:c>
    </x:row>
    <x:row r="64">
      <x:c r="A64" s="11" t="n">
        <x:v>58</x:v>
      </x:c>
      <x:c r="B64" s="11" t="str">
        <x:v>ModuleOperationMapping</x:v>
      </x:c>
      <x:c r="C64" s="11" t="str">
        <x:v>SQL file</x:v>
      </x:c>
      <x:c r="D64" s="13" t="str">
        <x:v>database-scripts/SeedTenantEmailTemplate.sql</x:v>
      </x:c>
      <x:c r="E64" s="11" t="str">
        <x:v>Incremental SQL</x:v>
      </x:c>
    </x:row>
    <x:row r="65">
      <x:c r="A65" s="11" t="n">
        <x:v>59</x:v>
      </x:c>
      <x:c r="B65" s="11" t="str">
        <x:v>ModuleOperationMapping</x:v>
      </x:c>
      <x:c r="C65" s="11" t="str">
        <x:v>SQL file</x:v>
      </x:c>
      <x:c r="D65" s="13" t="str">
        <x:v>database-scripts/SeedTenantEmployeeTypeModule.sql</x:v>
      </x:c>
      <x:c r="E65" s="11" t="str">
        <x:v>Incremental SQL</x:v>
      </x:c>
    </x:row>
    <x:row r="66">
      <x:c r="A66" s="11" t="n">
        <x:v>60</x:v>
      </x:c>
      <x:c r="B66" s="11" t="str">
        <x:v>ModuleOperationMapping</x:v>
      </x:c>
      <x:c r="C66" s="11" t="str">
        <x:v>SQL file</x:v>
      </x:c>
      <x:c r="D66" s="13" t="str">
        <x:v>database-scripts/TenantCardMaster_EmployeeDeviceCredential_Upgrade.sql</x:v>
      </x:c>
      <x:c r="E66" s="11" t="str">
        <x:v>Incremental SQL</x:v>
      </x:c>
    </x:row>
    <x:row r="67">
      <x:c r="A67" s="11" t="n">
        <x:v>61</x:v>
      </x:c>
      <x:c r="B67" s="11" t="str">
        <x:v>Operation</x:v>
      </x:c>
      <x:c r="C67" s="11" t="str">
        <x:v>SQL file</x:v>
      </x:c>
      <x:c r="D67" s="13" t="str">
        <x:v>database-scripts/complete-seed/AxionPro_New_Production_Module_Operation_Seed.sql</x:v>
      </x:c>
      <x:c r="E67" s="11" t="str">
        <x:v>Full seed</x:v>
      </x:c>
    </x:row>
    <x:row r="68">
      <x:c r="A68" s="11" t="n">
        <x:v>62</x:v>
      </x:c>
      <x:c r="B68" s="11" t="str">
        <x:v>Operation</x:v>
      </x:c>
      <x:c r="C68" s="11" t="str">
        <x:v>SQL file</x:v>
      </x:c>
      <x:c r="D68" s="13" t="str">
        <x:v>database-scripts/complete-seed/SeedTenantPolicyModules.sql</x:v>
      </x:c>
      <x:c r="E68" s="11" t="str">
        <x:v>Full seed</x:v>
      </x:c>
    </x:row>
    <x:row r="69">
      <x:c r="A69" s="11" t="n">
        <x:v>63</x:v>
      </x:c>
      <x:c r="B69" s="11" t="str">
        <x:v>Operation</x:v>
      </x:c>
      <x:c r="C69" s="11" t="str">
        <x:v>SQL file</x:v>
      </x:c>
      <x:c r="D69" s="13" t="str">
        <x:v>database-scripts/production-seed/04-access-and-host/001-modules-operations-two-host-admins.sql</x:v>
      </x:c>
      <x:c r="E69" s="11" t="str">
        <x:v>Canonical SQL</x:v>
      </x:c>
    </x:row>
    <x:row r="70">
      <x:c r="A70" s="11" t="n">
        <x:v>64</x:v>
      </x:c>
      <x:c r="B70" s="11" t="str">
        <x:v>Operation</x:v>
      </x:c>
      <x:c r="C70" s="11" t="str">
        <x:v>SQL file</x:v>
      </x:c>
      <x:c r="D70" s="13" t="str">
        <x:v>database-scripts/SeedBulkImportModules.sql</x:v>
      </x:c>
      <x:c r="E70" s="11" t="str">
        <x:v>Incremental SQL</x:v>
      </x:c>
    </x:row>
    <x:row r="71">
      <x:c r="A71" s="11" t="n">
        <x:v>65</x:v>
      </x:c>
      <x:c r="B71" s="11" t="str">
        <x:v>Operation</x:v>
      </x:c>
      <x:c r="C71" s="11" t="str">
        <x:v>SQL file</x:v>
      </x:c>
      <x:c r="D71" s="13" t="str">
        <x:v>database-scripts/SeedHostBulkImportModules.sql</x:v>
      </x:c>
      <x:c r="E71" s="11" t="str">
        <x:v>Incremental SQL</x:v>
      </x:c>
    </x:row>
    <x:row r="72">
      <x:c r="A72" s="11" t="n">
        <x:v>66</x:v>
      </x:c>
      <x:c r="B72" s="11" t="str">
        <x:v>PageTypeEnum</x:v>
      </x:c>
      <x:c r="C72" s="11" t="str">
        <x:v>SQL file</x:v>
      </x:c>
      <x:c r="D72" s="13" t="str">
        <x:v>database-scripts/production-seed/02-parent-master/001-shared-master-data.sql</x:v>
      </x:c>
      <x:c r="E72" s="11" t="str">
        <x:v>Canonical SQL</x:v>
      </x:c>
    </x:row>
    <x:row r="73">
      <x:c r="A73" s="11" t="n">
        <x:v>67</x:v>
      </x:c>
      <x:c r="B73" s="11" t="str">
        <x:v>PaymentGateway</x:v>
      </x:c>
      <x:c r="C73" s="11" t="str">
        <x:v>SQL file</x:v>
      </x:c>
      <x:c r="D73" s="13" t="str">
        <x:v>database-scripts/AddSubscriptionBillingFoundation.sql</x:v>
      </x:c>
      <x:c r="E73" s="11" t="str">
        <x:v>Incremental SQL</x:v>
      </x:c>
    </x:row>
    <x:row r="74">
      <x:c r="A74" s="11" t="n">
        <x:v>68</x:v>
      </x:c>
      <x:c r="B74" s="11" t="str">
        <x:v>PlanModuleMapping</x:v>
      </x:c>
      <x:c r="C74" s="11" t="str">
        <x:v>SQL file</x:v>
      </x:c>
      <x:c r="D74" s="13" t="str">
        <x:v>database-scripts/complete-seed/AxionPro_New_Production_Module_Operation_Seed.sql</x:v>
      </x:c>
      <x:c r="E74" s="11" t="str">
        <x:v>Full seed</x:v>
      </x:c>
    </x:row>
    <x:row r="75">
      <x:c r="A75" s="11" t="n">
        <x:v>69</x:v>
      </x:c>
      <x:c r="B75" s="11" t="str">
        <x:v>PlanModuleMapping</x:v>
      </x:c>
      <x:c r="C75" s="11" t="str">
        <x:v>SQL file</x:v>
      </x:c>
      <x:c r="D75" s="13" t="str">
        <x:v>database-scripts/complete-seed/SeedTenantPolicyModules.sql</x:v>
      </x:c>
      <x:c r="E75" s="11" t="str">
        <x:v>Full seed</x:v>
      </x:c>
    </x:row>
    <x:row r="76">
      <x:c r="A76" s="11" t="n">
        <x:v>70</x:v>
      </x:c>
      <x:c r="B76" s="11" t="str">
        <x:v>PlanModuleMapping</x:v>
      </x:c>
      <x:c r="C76" s="11" t="str">
        <x:v>SQL file</x:v>
      </x:c>
      <x:c r="D76" s="13" t="str">
        <x:v>database-scripts/production-seed/04-access-and-host/001-modules-operations-two-host-admins.sql</x:v>
      </x:c>
      <x:c r="E76" s="11" t="str">
        <x:v>Canonical SQL</x:v>
      </x:c>
    </x:row>
    <x:row r="77">
      <x:c r="A77" s="11" t="n">
        <x:v>71</x:v>
      </x:c>
      <x:c r="B77" s="11" t="str">
        <x:v>PlanModuleMapping</x:v>
      </x:c>
      <x:c r="C77" s="11" t="str">
        <x:v>SQL file</x:v>
      </x:c>
      <x:c r="D77" s="13" t="str">
        <x:v>database-scripts/SeedBulkImportModules.sql</x:v>
      </x:c>
      <x:c r="E77" s="11" t="str">
        <x:v>Incremental SQL</x:v>
      </x:c>
    </x:row>
    <x:row r="78">
      <x:c r="A78" s="11" t="n">
        <x:v>72</x:v>
      </x:c>
      <x:c r="B78" s="11" t="str">
        <x:v>PlanModuleMapping</x:v>
      </x:c>
      <x:c r="C78" s="11" t="str">
        <x:v>SQL file</x:v>
      </x:c>
      <x:c r="D78" s="13" t="str">
        <x:v>database-scripts/SeedTenantEmailTemplate.sql</x:v>
      </x:c>
      <x:c r="E78" s="11" t="str">
        <x:v>Incremental SQL</x:v>
      </x:c>
    </x:row>
    <x:row r="79">
      <x:c r="A79" s="11" t="n">
        <x:v>73</x:v>
      </x:c>
      <x:c r="B79" s="11" t="str">
        <x:v>PlanModuleMapping</x:v>
      </x:c>
      <x:c r="C79" s="11" t="str">
        <x:v>SQL file</x:v>
      </x:c>
      <x:c r="D79" s="13" t="str">
        <x:v>database-scripts/SeedTenantEmployeeTypeModule.sql</x:v>
      </x:c>
      <x:c r="E79" s="11" t="str">
        <x:v>Incremental SQL</x:v>
      </x:c>
    </x:row>
    <x:row r="80">
      <x:c r="A80" s="11" t="n">
        <x:v>74</x:v>
      </x:c>
      <x:c r="B80" s="11" t="str">
        <x:v>PolicyCategory</x:v>
      </x:c>
      <x:c r="C80" s="11" t="str">
        <x:v>SQL file</x:v>
      </x:c>
      <x:c r="D80" s="13" t="str">
        <x:v>database-scripts/CreateGenericTenantPolicyFramework.sql</x:v>
      </x:c>
      <x:c r="E80" s="11" t="str">
        <x:v>Incremental SQL</x:v>
      </x:c>
    </x:row>
    <x:row r="81">
      <x:c r="A81" s="11" t="n">
        <x:v>75</x:v>
      </x:c>
      <x:c r="B81" s="11" t="str">
        <x:v>PolicyCategory</x:v>
      </x:c>
      <x:c r="C81" s="11" t="str">
        <x:v>SQL file</x:v>
      </x:c>
      <x:c r="D81" s="13" t="str">
        <x:v>database-scripts/production-seed/02-parent-master/001-shared-master-data.sql</x:v>
      </x:c>
      <x:c r="E81" s="11" t="str">
        <x:v>Canonical SQL</x:v>
      </x:c>
    </x:row>
    <x:row r="82">
      <x:c r="A82" s="11" t="n">
        <x:v>76</x:v>
      </x:c>
      <x:c r="B82" s="11" t="str">
        <x:v>PolicyCategoryRuleType</x:v>
      </x:c>
      <x:c r="C82" s="11" t="str">
        <x:v>SQL file</x:v>
      </x:c>
      <x:c r="D82" s="13" t="str">
        <x:v>database-scripts/AddGenericPolicyRuleMetadata.sql</x:v>
      </x:c>
      <x:c r="E82" s="11" t="str">
        <x:v>Incremental SQL</x:v>
      </x:c>
    </x:row>
    <x:row r="83">
      <x:c r="A83" s="11" t="n">
        <x:v>77</x:v>
      </x:c>
      <x:c r="B83" s="11" t="str">
        <x:v>PolicyDocumentType</x:v>
      </x:c>
      <x:c r="C83" s="11" t="str">
        <x:v>SQL file</x:v>
      </x:c>
      <x:c r="D83" s="13" t="str">
        <x:v>database-scripts/CreateGenericTenantPolicyFramework.sql</x:v>
      </x:c>
      <x:c r="E83" s="11" t="str">
        <x:v>Incremental SQL</x:v>
      </x:c>
    </x:row>
    <x:row r="84">
      <x:c r="A84" s="11" t="n">
        <x:v>78</x:v>
      </x:c>
      <x:c r="B84" s="11" t="str">
        <x:v>PolicyDocumentType</x:v>
      </x:c>
      <x:c r="C84" s="11" t="str">
        <x:v>SQL file</x:v>
      </x:c>
      <x:c r="D84" s="13" t="str">
        <x:v>database-scripts/production-seed/02-parent-master/001-shared-master-data.sql</x:v>
      </x:c>
      <x:c r="E84" s="11" t="str">
        <x:v>Canonical SQL</x:v>
      </x:c>
    </x:row>
    <x:row r="85">
      <x:c r="A85" s="11" t="n">
        <x:v>79</x:v>
      </x:c>
      <x:c r="B85" s="11" t="str">
        <x:v>PolicyRuleSettingDefinition</x:v>
      </x:c>
      <x:c r="C85" s="11" t="str">
        <x:v>SQL file</x:v>
      </x:c>
      <x:c r="D85" s="13" t="str">
        <x:v>database-scripts/AddGenericPolicyRuleMetadata.sql</x:v>
      </x:c>
      <x:c r="E85" s="11" t="str">
        <x:v>Incremental SQL</x:v>
      </x:c>
    </x:row>
    <x:row r="86">
      <x:c r="A86" s="11" t="n">
        <x:v>80</x:v>
      </x:c>
      <x:c r="B86" s="11" t="str">
        <x:v>PolicyRuleSettingDependency</x:v>
      </x:c>
      <x:c r="C86" s="11" t="str">
        <x:v>SQL file</x:v>
      </x:c>
      <x:c r="D86" s="13" t="str">
        <x:v>database-scripts/AddGenericPolicyRuleMetadata.sql</x:v>
      </x:c>
      <x:c r="E86" s="11" t="str">
        <x:v>Incremental SQL</x:v>
      </x:c>
    </x:row>
    <x:row r="87">
      <x:c r="A87" s="11" t="n">
        <x:v>81</x:v>
      </x:c>
      <x:c r="B87" s="11" t="str">
        <x:v>PolicyRuleSettingOption</x:v>
      </x:c>
      <x:c r="C87" s="11" t="str">
        <x:v>SQL file</x:v>
      </x:c>
      <x:c r="D87" s="13" t="str">
        <x:v>database-scripts/AddGenericPolicyRuleMetadata.sql</x:v>
      </x:c>
      <x:c r="E87" s="11" t="str">
        <x:v>Incremental SQL</x:v>
      </x:c>
    </x:row>
    <x:row r="88">
      <x:c r="A88" s="11" t="n">
        <x:v>82</x:v>
      </x:c>
      <x:c r="B88" s="11" t="str">
        <x:v>PolicyRuleType</x:v>
      </x:c>
      <x:c r="C88" s="11" t="str">
        <x:v>SQL file</x:v>
      </x:c>
      <x:c r="D88" s="13" t="str">
        <x:v>database-scripts/CreateGenericTenantPolicyFramework.sql</x:v>
      </x:c>
      <x:c r="E88" s="11" t="str">
        <x:v>Incremental SQL</x:v>
      </x:c>
    </x:row>
    <x:row r="89">
      <x:c r="A89" s="11" t="n">
        <x:v>83</x:v>
      </x:c>
      <x:c r="B89" s="11" t="str">
        <x:v>PolicyRuleType</x:v>
      </x:c>
      <x:c r="C89" s="11" t="str">
        <x:v>SQL file</x:v>
      </x:c>
      <x:c r="D89" s="13" t="str">
        <x:v>database-scripts/production-seed/02-parent-master/001-shared-master-data.sql</x:v>
      </x:c>
      <x:c r="E89" s="11" t="str">
        <x:v>Canonical SQL</x:v>
      </x:c>
    </x:row>
    <x:row r="90">
      <x:c r="A90" s="11" t="n">
        <x:v>84</x:v>
      </x:c>
      <x:c r="B90" s="11" t="str">
        <x:v>PolicyStatus</x:v>
      </x:c>
      <x:c r="C90" s="11" t="str">
        <x:v>SQL file</x:v>
      </x:c>
      <x:c r="D90" s="13" t="str">
        <x:v>database-scripts/CreateGenericTenantPolicyFramework.sql</x:v>
      </x:c>
      <x:c r="E90" s="11" t="str">
        <x:v>Incremental SQL</x:v>
      </x:c>
    </x:row>
    <x:row r="91">
      <x:c r="A91" s="11" t="n">
        <x:v>85</x:v>
      </x:c>
      <x:c r="B91" s="11" t="str">
        <x:v>PolicyStatus</x:v>
      </x:c>
      <x:c r="C91" s="11" t="str">
        <x:v>SQL file</x:v>
      </x:c>
      <x:c r="D91" s="13" t="str">
        <x:v>database-scripts/production-seed/02-parent-master/001-shared-master-data.sql</x:v>
      </x:c>
      <x:c r="E91" s="11" t="str">
        <x:v>Canonical SQL</x:v>
      </x:c>
    </x:row>
    <x:row r="92">
      <x:c r="A92" s="11" t="n">
        <x:v>86</x:v>
      </x:c>
      <x:c r="B92" s="11" t="str">
        <x:v>RoleModuleAndPermission</x:v>
      </x:c>
      <x:c r="C92" s="11" t="str">
        <x:v>SQL file</x:v>
      </x:c>
      <x:c r="D92" s="13" t="str">
        <x:v>database-scripts/MoveResetPasswordToEmployeeList.sql</x:v>
      </x:c>
      <x:c r="E92" s="11" t="str">
        <x:v>Incremental SQL</x:v>
      </x:c>
    </x:row>
    <x:row r="93">
      <x:c r="A93" s="11" t="n">
        <x:v>87</x:v>
      </x:c>
      <x:c r="B93" s="11" t="str">
        <x:v>RoleModuleAndPermission</x:v>
      </x:c>
      <x:c r="C93" s="11" t="str">
        <x:v>SQL file</x:v>
      </x:c>
      <x:c r="D93" s="13" t="str">
        <x:v>database-scripts/production-seed/04-access-and-host/001-modules-operations-two-host-admins.sql</x:v>
      </x:c>
      <x:c r="E93" s="11" t="str">
        <x:v>Canonical SQL</x:v>
      </x:c>
    </x:row>
    <x:row r="94">
      <x:c r="A94" s="11" t="n">
        <x:v>88</x:v>
      </x:c>
      <x:c r="B94" s="11" t="str">
        <x:v>RoleModuleAndPermission</x:v>
      </x:c>
      <x:c r="C94" s="11" t="str">
        <x:v>SQL file</x:v>
      </x:c>
      <x:c r="D94" s="13" t="str">
        <x:v>database-scripts/RemoveDuplicateExportOperation.sql</x:v>
      </x:c>
      <x:c r="E94" s="11" t="str">
        <x:v>Incremental SQL</x:v>
      </x:c>
    </x:row>
    <x:row r="95">
      <x:c r="A95" s="11" t="n">
        <x:v>89</x:v>
      </x:c>
      <x:c r="B95" s="11" t="str">
        <x:v>RoleModuleAndPermission</x:v>
      </x:c>
      <x:c r="C95" s="11" t="str">
        <x:v>SQL file</x:v>
      </x:c>
      <x:c r="D95" s="13" t="str">
        <x:v>database-scripts/SeedBulkImportModules.sql</x:v>
      </x:c>
      <x:c r="E95" s="11" t="str">
        <x:v>Incremental SQL</x:v>
      </x:c>
    </x:row>
    <x:row r="96">
      <x:c r="A96" s="11" t="n">
        <x:v>90</x:v>
      </x:c>
      <x:c r="B96" s="11" t="str">
        <x:v>State</x:v>
      </x:c>
      <x:c r="C96" s="11" t="str">
        <x:v>SQL file</x:v>
      </x:c>
      <x:c r="D96" s="13" t="str">
        <x:v>database-scripts/production-seed/03-geography/001-four-country-postal-catalog.sql</x:v>
      </x:c>
      <x:c r="E96" s="11" t="str">
        <x:v>Canonical SQL</x:v>
      </x:c>
    </x:row>
    <x:row r="97">
      <x:c r="A97" s="11" t="n">
        <x:v>91</x:v>
      </x:c>
      <x:c r="B97" s="11" t="str">
        <x:v>State</x:v>
      </x:c>
      <x:c r="C97" s="11" t="str">
        <x:v>SQL file</x:v>
      </x:c>
      <x:c r="D97" s="13" t="str">
        <x:v>database-scripts/ResetIndiaChinaFullLocationCatalog.sql</x:v>
      </x:c>
      <x:c r="E97" s="11" t="str">
        <x:v>Incremental SQL</x:v>
      </x:c>
    </x:row>
    <x:row r="98">
      <x:c r="A98" s="11" t="n">
        <x:v>92</x:v>
      </x:c>
      <x:c r="B98" s="11" t="str">
        <x:v>State</x:v>
      </x:c>
      <x:c r="C98" s="11" t="str">
        <x:v>SQL file</x:v>
      </x:c>
      <x:c r="D98" s="13" t="str">
        <x:v>database-scripts/SeedGlobalStates.sql</x:v>
      </x:c>
      <x:c r="E98" s="11" t="str">
        <x:v>Incremental SQL</x:v>
      </x:c>
    </x:row>
    <x:row r="99">
      <x:c r="A99" s="11" t="n">
        <x:v>93</x:v>
      </x:c>
      <x:c r="B99" s="11" t="str">
        <x:v>State</x:v>
      </x:c>
      <x:c r="C99" s="11" t="str">
        <x:v>SQL file</x:v>
      </x:c>
      <x:c r="D99" s="13" t="str">
        <x:v>database-scripts/SeedUaeLocations.sql</x:v>
      </x:c>
      <x:c r="E99" s="11" t="str">
        <x:v>Incremental SQL</x:v>
      </x:c>
    </x:row>
    <x:row r="100">
      <x:c r="A100" s="11" t="n">
        <x:v>94</x:v>
      </x:c>
      <x:c r="B100" s="11" t="str">
        <x:v>StatutoryType</x:v>
      </x:c>
      <x:c r="C100" s="11" t="str">
        <x:v>SQL file</x:v>
      </x:c>
      <x:c r="D100" s="13" t="str">
        <x:v>database-scripts/production-seed/03-geography/002-country-regulatory-master.sql</x:v>
      </x:c>
      <x:c r="E100" s="11" t="str">
        <x:v>Canonical SQL</x:v>
      </x:c>
    </x:row>
    <x:row r="101">
      <x:c r="A101" s="11" t="n">
        <x:v>95</x:v>
      </x:c>
      <x:c r="B101" s="11" t="str">
        <x:v>SubscriptionPlan</x:v>
      </x:c>
      <x:c r="C101" s="11" t="str">
        <x:v>SQL file</x:v>
      </x:c>
      <x:c r="D101" s="13" t="str">
        <x:v>database-scripts/production-seed/02-parent-master/001-shared-master-data.sql</x:v>
      </x:c>
      <x:c r="E101" s="11" t="str">
        <x:v>Canonical SQL</x:v>
      </x:c>
    </x:row>
    <x:row r="102">
      <x:c r="A102" s="11" t="n">
        <x:v>96</x:v>
      </x:c>
      <x:c r="B102" s="11" t="str">
        <x:v>TenantEmailTemplate</x:v>
      </x:c>
      <x:c r="C102" s="11" t="str">
        <x:v>SQL file</x:v>
      </x:c>
      <x:c r="D102" s="13" t="str">
        <x:v>database-scripts/production-seed/04-access-and-host/001-modules-operations-two-host-admins.sql</x:v>
      </x:c>
      <x:c r="E102" s="11" t="str">
        <x:v>Canonical SQL</x:v>
      </x:c>
    </x:row>
    <x:row r="103">
      <x:c r="A103" s="11" t="n">
        <x:v>97</x:v>
      </x:c>
      <x:c r="B103" s="11" t="str">
        <x:v>TenantEmailTemplate</x:v>
      </x:c>
      <x:c r="C103" s="11" t="str">
        <x:v>SQL file</x:v>
      </x:c>
      <x:c r="D103" s="13" t="str">
        <x:v>database-scripts/SeedTenantEmailTemplate.sql</x:v>
      </x:c>
      <x:c r="E103" s="11" t="str">
        <x:v>Incremental SQL</x:v>
      </x:c>
    </x:row>
    <x:row r="104">
      <x:c r="A104" s="11" t="n">
        <x:v>98</x:v>
      </x:c>
      <x:c r="B104" s="11" t="str">
        <x:v>TenantEnabledModule</x:v>
      </x:c>
      <x:c r="C104" s="11" t="str">
        <x:v>SQL file</x:v>
      </x:c>
      <x:c r="D104" s="13" t="str">
        <x:v>database-scripts/production-seed/04-access-and-host/001-modules-operations-two-host-admins.sql</x:v>
      </x:c>
      <x:c r="E104" s="11" t="str">
        <x:v>Canonical SQL</x:v>
      </x:c>
    </x:row>
    <x:row r="105">
      <x:c r="A105" s="11" t="n">
        <x:v>99</x:v>
      </x:c>
      <x:c r="B105" s="11" t="str">
        <x:v>TenantEnabledModule</x:v>
      </x:c>
      <x:c r="C105" s="11" t="str">
        <x:v>SQL file</x:v>
      </x:c>
      <x:c r="D105" s="13" t="str">
        <x:v>database-scripts/SeedTenantEmailTemplate.sql</x:v>
      </x:c>
      <x:c r="E105" s="11" t="str">
        <x:v>Incremental SQL</x:v>
      </x:c>
    </x:row>
    <x:row r="106">
      <x:c r="A106" s="11" t="n">
        <x:v>100</x:v>
      </x:c>
      <x:c r="B106" s="11" t="str">
        <x:v>TenantEnabledOperation</x:v>
      </x:c>
      <x:c r="C106" s="11" t="str">
        <x:v>SQL file</x:v>
      </x:c>
      <x:c r="D106" s="13" t="str">
        <x:v>database-scripts/MoveResetPasswordToEmployeeList.sql</x:v>
      </x:c>
      <x:c r="E106" s="11" t="str">
        <x:v>Incremental SQL</x:v>
      </x:c>
    </x:row>
    <x:row r="107">
      <x:c r="A107" s="11" t="n">
        <x:v>101</x:v>
      </x:c>
      <x:c r="B107" s="11" t="str">
        <x:v>TenantEnabledOperation</x:v>
      </x:c>
      <x:c r="C107" s="11" t="str">
        <x:v>SQL file</x:v>
      </x:c>
      <x:c r="D107" s="13" t="str">
        <x:v>database-scripts/production-seed/04-access-and-host/001-modules-operations-two-host-admins.sql</x:v>
      </x:c>
      <x:c r="E107" s="11" t="str">
        <x:v>Canonical SQL</x:v>
      </x:c>
    </x:row>
    <x:row r="108">
      <x:c r="A108" s="11" t="n">
        <x:v>102</x:v>
      </x:c>
      <x:c r="B108" s="11" t="str">
        <x:v>TenantEnabledOperation</x:v>
      </x:c>
      <x:c r="C108" s="11" t="str">
        <x:v>SQL file</x:v>
      </x:c>
      <x:c r="D108" s="13" t="str">
        <x:v>database-scripts/RemoveDuplicateExportOperation.sql</x:v>
      </x:c>
      <x:c r="E108" s="11" t="str">
        <x:v>Incremental SQL</x:v>
      </x:c>
    </x:row>
    <x:row r="109">
      <x:c r="A109" s="11" t="n">
        <x:v>103</x:v>
      </x:c>
      <x:c r="B109" s="11" t="str">
        <x:v>TenantEnabledOperation</x:v>
      </x:c>
      <x:c r="C109" s="11" t="str">
        <x:v>SQL file</x:v>
      </x:c>
      <x:c r="D109" s="13" t="str">
        <x:v>database-scripts/SeedBulkImportModules.sql</x:v>
      </x:c>
      <x:c r="E109" s="11" t="str">
        <x:v>Incremental SQL</x:v>
      </x:c>
    </x:row>
    <x:row r="110">
      <x:c r="A110" s="11" t="n">
        <x:v>104</x:v>
      </x:c>
      <x:c r="B110" s="11" t="str">
        <x:v>TenantEnabledOperation</x:v>
      </x:c>
      <x:c r="C110" s="11" t="str">
        <x:v>SQL file</x:v>
      </x:c>
      <x:c r="D110" s="13" t="str">
        <x:v>database-scripts/SeedTenantEmailTemplate.sql</x:v>
      </x:c>
      <x:c r="E110" s="11" t="str">
        <x:v>Incremental SQL</x:v>
      </x:c>
    </x:row>
    <x:row r="111">
      <x:c r="A111" s="11" t="n">
        <x:v>105</x:v>
      </x:c>
      <x:c r="B111" s="11" t="str">
        <x:v>TenantEnabledOperation</x:v>
      </x:c>
      <x:c r="C111" s="11" t="str">
        <x:v>SQL file</x:v>
      </x:c>
      <x:c r="D111" s="13" t="str">
        <x:v>database-scripts/SeedTenantEmployeeTypeModule.sql</x:v>
      </x:c>
      <x:c r="E111" s="11" t="str">
        <x:v>Incremental SQL</x:v>
      </x:c>
    </x:row>
    <x:row r="112">
      <x:c r="A112" s="11" t="n">
        <x:v>106</x:v>
      </x:c>
      <x:c r="B112" s="11" t="str">
        <x:v>TenantIndustry</x:v>
      </x:c>
      <x:c r="C112" s="11" t="str">
        <x:v>SQL file</x:v>
      </x:c>
      <x:c r="D112" s="13" t="str">
        <x:v>database-scripts/production-seed/02-parent-master/001-shared-master-data.sql</x:v>
      </x:c>
      <x:c r="E112" s="11" t="str">
        <x:v>Canonical SQL</x:v>
      </x:c>
    </x:row>
    <x:row r="113">
      <x:c r="A113" s="11" t="n">
        <x:v>107</x:v>
      </x:c>
      <x:c r="B113" s="11" t="str">
        <x:v>TenantLocation</x:v>
      </x:c>
      <x:c r="C113" s="11" t="str">
        <x:v>SQL file</x:v>
      </x:c>
      <x:c r="D113" s="13" t="str">
        <x:v>database-scripts/SeedTechNovaHolidayCalendar2026.sql</x:v>
      </x:c>
      <x:c r="E113" s="11" t="str">
        <x:v>Incremental SQL</x:v>
      </x:c>
    </x:row>
    <x:row r="114">
      <x:c r="A114" s="11" t="n">
        <x:v>108</x:v>
      </x:c>
      <x:c r="B114" s="11" t="str">
        <x:v>TenderStatus</x:v>
      </x:c>
      <x:c r="C114" s="11" t="str">
        <x:v>SQL file</x:v>
      </x:c>
      <x:c r="D114" s="13" t="str">
        <x:v>database-scripts/production-seed/02-parent-master/001-shared-master-data.sql</x:v>
      </x:c>
      <x:c r="E114" s="11" t="str">
        <x:v>Canonical SQL</x:v>
      </x:c>
    </x:row>
    <x:row r="115">
      <x:c r="A115" s="11" t="n">
        <x:v>109</x:v>
      </x:c>
      <x:c r="B115" s="11" t="str">
        <x:v>Department</x:v>
      </x:c>
      <x:c r="C115" s="11" t="str">
        <x:v>Runtime helper</x:v>
      </x:c>
      <x:c r="D115" s="13" t="str">
        <x:v>axionpro.infrastructure/SeedHelpers/DepartmentSeedHelper.cs → DepartmentRepository.AutoCreateDepartmentSeedAsync</x:v>
      </x:c>
      <x:c r="E115" s="11" t="str">
        <x:v>Runtime auto-seed</x:v>
      </x:c>
    </x:row>
    <x:row r="116">
      <x:c r="A116" s="12" t="n">
        <x:v>110</x:v>
      </x:c>
      <x:c r="B116" s="12" t="str">
        <x:v>Designation</x:v>
      </x:c>
      <x:c r="C116" s="12" t="str">
        <x:v>Runtime helper</x:v>
      </x:c>
      <x:c r="D116" s="14" t="str">
        <x:v>axionpro.infrastructure/SeedHelpers/DesignationsSeedHelper.cs → DesignationRepository</x:v>
      </x:c>
      <x:c r="E116" s="12" t="str">
        <x:v>Runtime auto-seed</x:v>
      </x:c>
    </x:row>
  </x:sheetData>
  <x:mergeCells>
    <x:mergeCell ref="A2:E2"/>
    <x:mergeCell ref="A3:E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7" hidden="0" customWidth="1"/>
    <x:col min="2" max="2" width="34" hidden="0" customWidth="1"/>
    <x:col min="3" max="3" width="15" hidden="0" customWidth="1"/>
    <x:col min="4" max="4" width="15" hidden="0" customWidth="1"/>
    <x:col min="5" max="5" width="28" hidden="0" customWidth="1"/>
    <x:col min="6" max="6" width="44" hidden="0" customWidth="1"/>
    <x:col min="7" max="7" width="62" hidden="0" customWidth="1"/>
  </x:cols>
  <x:sheetData>
    <x:row r="2">
      <x:c r="A2" s="1" t="str">
        <x:v>Master/reference tables without seed files</x:v>
      </x:c>
    </x:row>
    <x:row r="3">
      <x:c r="A3" s="2" t="str">
        <x:v>Tables identified as master/reference candidates where no authoritative SQL or runtime seed source was found.</x:v>
      </x:c>
    </x:row>
    <x:row r="4">
      <x:c r="A4" s="3"/>
      <x:c r="B4" s="3"/>
      <x:c r="C4" s="3"/>
      <x:c r="D4" s="3"/>
      <x:c r="E4" s="3"/>
      <x:c r="F4" s="3"/>
      <x:c r="G4" s="3"/>
    </x:row>
    <x:row r="6">
      <x:c r="A6" s="8" t="str">
        <x:v>#</x:v>
      </x:c>
      <x:c r="B6" s="8" t="str">
        <x:v>Table</x:v>
      </x:c>
      <x:c r="C6" s="8" t="str">
        <x:v>Render rows</x:v>
      </x:c>
      <x:c r="D6" s="8" t="str">
        <x:v>Local rows</x:v>
      </x:c>
      <x:c r="E6" s="8" t="str">
        <x:v>Current status</x:v>
      </x:c>
      <x:c r="F6" s="8" t="str">
        <x:v>Risk</x:v>
      </x:c>
      <x:c r="G6" s="8" t="str">
        <x:v>Recommended action</x:v>
      </x:c>
    </x:row>
    <x:row r="7">
      <x:c r="A7" s="11" t="n">
        <x:v>1</x:v>
      </x:c>
      <x:c r="B7" s="11" t="str">
        <x:v>AssetCategory</x:v>
      </x:c>
      <x:c r="C7" s="11" t="n">
        <x:v>0</x:v>
      </x:c>
      <x:c r="D7" s="11" t="n">
        <x:v>0</x:v>
      </x:c>
      <x:c r="E7" s="15" t="str">
        <x:v>No authoritative seed found</x:v>
      </x:c>
      <x:c r="F7" s="13" t="str">
        <x:v>Environment setup can remain empty or diverge.</x:v>
      </x:c>
      <x:c r="G7" s="13" t="str">
        <x:v>Define a business-approved catalogue and idempotent seed; do not invent values.</x:v>
      </x:c>
    </x:row>
    <x:row r="8">
      <x:c r="A8" s="11" t="n">
        <x:v>2</x:v>
      </x:c>
      <x:c r="B8" s="11" t="str">
        <x:v>AssetStatus</x:v>
      </x:c>
      <x:c r="C8" s="11" t="n">
        <x:v>0</x:v>
      </x:c>
      <x:c r="D8" s="11" t="n">
        <x:v>0</x:v>
      </x:c>
      <x:c r="E8" s="15" t="str">
        <x:v>No authoritative seed found</x:v>
      </x:c>
      <x:c r="F8" s="13" t="str">
        <x:v>Environment setup can remain empty or diverge.</x:v>
      </x:c>
      <x:c r="G8" s="13" t="str">
        <x:v>Define a business-approved catalogue and idempotent seed; do not invent values.</x:v>
      </x:c>
    </x:row>
    <x:row r="9">
      <x:c r="A9" s="11" t="n">
        <x:v>3</x:v>
      </x:c>
      <x:c r="B9" s="11" t="str">
        <x:v>AssetType</x:v>
      </x:c>
      <x:c r="C9" s="11" t="n">
        <x:v>0</x:v>
      </x:c>
      <x:c r="D9" s="11" t="n">
        <x:v>0</x:v>
      </x:c>
      <x:c r="E9" s="15" t="str">
        <x:v>No authoritative seed found</x:v>
      </x:c>
      <x:c r="F9" s="13" t="str">
        <x:v>Environment setup can remain empty or diverge.</x:v>
      </x:c>
      <x:c r="G9" s="13" t="str">
        <x:v>Define a business-approved catalogue and idempotent seed; do not invent values.</x:v>
      </x:c>
    </x:row>
    <x:row r="10">
      <x:c r="A10" s="11" t="n">
        <x:v>4</x:v>
      </x:c>
      <x:c r="B10" s="11" t="str">
        <x:v>AssignmentStatus</x:v>
      </x:c>
      <x:c r="C10" s="11" t="n">
        <x:v>0</x:v>
      </x:c>
      <x:c r="D10" s="11" t="n">
        <x:v>0</x:v>
      </x:c>
      <x:c r="E10" s="15" t="str">
        <x:v>No authoritative seed found</x:v>
      </x:c>
      <x:c r="F10" s="13" t="str">
        <x:v>Environment setup can remain empty or diverge.</x:v>
      </x:c>
      <x:c r="G10" s="13" t="str">
        <x:v>Define a business-approved catalogue and idempotent seed; do not invent values.</x:v>
      </x:c>
    </x:row>
    <x:row r="11">
      <x:c r="A11" s="11" t="n">
        <x:v>5</x:v>
      </x:c>
      <x:c r="B11" s="11" t="str">
        <x:v>Category</x:v>
      </x:c>
      <x:c r="C11" s="11" t="n">
        <x:v>0</x:v>
      </x:c>
      <x:c r="D11" s="11" t="n">
        <x:v>0</x:v>
      </x:c>
      <x:c r="E11" s="15" t="str">
        <x:v>No authoritative seed found</x:v>
      </x:c>
      <x:c r="F11" s="13" t="str">
        <x:v>Environment setup can remain empty or diverge.</x:v>
      </x:c>
      <x:c r="G11" s="13" t="str">
        <x:v>Define a business-approved catalogue and idempotent seed; do not invent values.</x:v>
      </x:c>
    </x:row>
    <x:row r="12">
      <x:c r="A12" s="11" t="n">
        <x:v>6</x:v>
      </x:c>
      <x:c r="B12" s="11" t="str">
        <x:v>ComplianceRule</x:v>
      </x:c>
      <x:c r="C12" s="11" t="n">
        <x:v>0</x:v>
      </x:c>
      <x:c r="D12" s="11" t="n">
        <x:v>0</x:v>
      </x:c>
      <x:c r="E12" s="15" t="str">
        <x:v>No authoritative seed found</x:v>
      </x:c>
      <x:c r="F12" s="13" t="str">
        <x:v>Environment setup can remain empty or diverge.</x:v>
      </x:c>
      <x:c r="G12" s="13" t="str">
        <x:v>Define a business-approved catalogue and idempotent seed; do not invent values.</x:v>
      </x:c>
    </x:row>
    <x:row r="13">
      <x:c r="A13" s="11" t="n">
        <x:v>7</x:v>
      </x:c>
      <x:c r="B13" s="11" t="str">
        <x:v>CountryStatutoryRule</x:v>
      </x:c>
      <x:c r="C13" s="11" t="n">
        <x:v>0</x:v>
      </x:c>
      <x:c r="D13" s="11" t="n">
        <x:v>0</x:v>
      </x:c>
      <x:c r="E13" s="15" t="str">
        <x:v>No authoritative seed found</x:v>
      </x:c>
      <x:c r="F13" s="13" t="str">
        <x:v>Environment setup can remain empty or diverge.</x:v>
      </x:c>
      <x:c r="G13" s="13" t="str">
        <x:v>Define a business-approved catalogue and idempotent seed; do not invent values.</x:v>
      </x:c>
    </x:row>
    <x:row r="14">
      <x:c r="A14" s="11" t="n">
        <x:v>8</x:v>
      </x:c>
      <x:c r="B14" s="11" t="str">
        <x:v>ReportingType</x:v>
      </x:c>
      <x:c r="C14" s="11" t="n">
        <x:v>0</x:v>
      </x:c>
      <x:c r="D14" s="11" t="n">
        <x:v>0</x:v>
      </x:c>
      <x:c r="E14" s="15" t="str">
        <x:v>No authoritative seed found</x:v>
      </x:c>
      <x:c r="F14" s="13" t="str">
        <x:v>Environment setup can remain empty or diverge.</x:v>
      </x:c>
      <x:c r="G14" s="13" t="str">
        <x:v>Define a business-approved catalogue and idempotent seed; do not invent values.</x:v>
      </x:c>
    </x:row>
    <x:row r="15">
      <x:c r="A15" s="11" t="n">
        <x:v>9</x:v>
      </x:c>
      <x:c r="B15" s="11" t="str">
        <x:v>RequestType</x:v>
      </x:c>
      <x:c r="C15" s="11" t="n">
        <x:v>0</x:v>
      </x:c>
      <x:c r="D15" s="11" t="n">
        <x:v>0</x:v>
      </x:c>
      <x:c r="E15" s="15" t="str">
        <x:v>No authoritative seed found</x:v>
      </x:c>
      <x:c r="F15" s="13" t="str">
        <x:v>Environment setup can remain empty or diverge.</x:v>
      </x:c>
      <x:c r="G15" s="13" t="str">
        <x:v>Define a business-approved catalogue and idempotent seed; do not invent values.</x:v>
      </x:c>
    </x:row>
    <x:row r="16">
      <x:c r="A16" s="11" t="n">
        <x:v>10</x:v>
      </x:c>
      <x:c r="B16" s="11" t="str">
        <x:v>SalaryComponentMaster</x:v>
      </x:c>
      <x:c r="C16" s="11" t="n">
        <x:v>0</x:v>
      </x:c>
      <x:c r="D16" s="11" t="n">
        <x:v>0</x:v>
      </x:c>
      <x:c r="E16" s="15" t="str">
        <x:v>No authoritative seed found</x:v>
      </x:c>
      <x:c r="F16" s="13" t="str">
        <x:v>Environment setup can remain empty or diverge.</x:v>
      </x:c>
      <x:c r="G16" s="13" t="str">
        <x:v>Define a business-approved catalogue and idempotent seed; do not invent values.</x:v>
      </x:c>
    </x:row>
    <x:row r="17">
      <x:c r="A17" s="11" t="n">
        <x:v>11</x:v>
      </x:c>
      <x:c r="B17" s="11" t="str">
        <x:v>TaxRegimeMaster</x:v>
      </x:c>
      <x:c r="C17" s="11" t="n">
        <x:v>0</x:v>
      </x:c>
      <x:c r="D17" s="11" t="n">
        <x:v>0</x:v>
      </x:c>
      <x:c r="E17" s="15" t="str">
        <x:v>No authoritative seed found</x:v>
      </x:c>
      <x:c r="F17" s="13" t="str">
        <x:v>Environment setup can remain empty or diverge.</x:v>
      </x:c>
      <x:c r="G17" s="13" t="str">
        <x:v>Define a business-approved catalogue and idempotent seed; do not invent values.</x:v>
      </x:c>
    </x:row>
    <x:row r="18">
      <x:c r="A18" s="11" t="n">
        <x:v>12</x:v>
      </x:c>
      <x:c r="B18" s="11" t="str">
        <x:v>TaxRule</x:v>
      </x:c>
      <x:c r="C18" s="11" t="n">
        <x:v>0</x:v>
      </x:c>
      <x:c r="D18" s="11" t="n">
        <x:v>0</x:v>
      </x:c>
      <x:c r="E18" s="15" t="str">
        <x:v>No authoritative seed found</x:v>
      </x:c>
      <x:c r="F18" s="13" t="str">
        <x:v>Environment setup can remain empty or diverge.</x:v>
      </x:c>
      <x:c r="G18" s="13" t="str">
        <x:v>Define a business-approved catalogue and idempotent seed; do not invent values.</x:v>
      </x:c>
    </x:row>
    <x:row r="19">
      <x:c r="A19" s="11" t="n">
        <x:v>13</x:v>
      </x:c>
      <x:c r="B19" s="11" t="str">
        <x:v>TaxSlab</x:v>
      </x:c>
      <x:c r="C19" s="11" t="n">
        <x:v>0</x:v>
      </x:c>
      <x:c r="D19" s="11" t="n">
        <x:v>0</x:v>
      </x:c>
      <x:c r="E19" s="15" t="str">
        <x:v>No authoritative seed found</x:v>
      </x:c>
      <x:c r="F19" s="13" t="str">
        <x:v>Environment setup can remain empty or diverge.</x:v>
      </x:c>
      <x:c r="G19" s="13" t="str">
        <x:v>Define a business-approved catalogue and idempotent seed; do not invent values.</x:v>
      </x:c>
    </x:row>
    <x:row r="20">
      <x:c r="A20" s="11" t="n">
        <x:v>14</x:v>
      </x:c>
      <x:c r="B20" s="11" t="str">
        <x:v>TaxSystemMaster</x:v>
      </x:c>
      <x:c r="C20" s="11" t="n">
        <x:v>0</x:v>
      </x:c>
      <x:c r="D20" s="11" t="n">
        <x:v>0</x:v>
      </x:c>
      <x:c r="E20" s="15" t="str">
        <x:v>No authoritative seed found</x:v>
      </x:c>
      <x:c r="F20" s="13" t="str">
        <x:v>Environment setup can remain empty or diverge.</x:v>
      </x:c>
      <x:c r="G20" s="13" t="str">
        <x:v>Define a business-approved catalogue and idempotent seed; do not invent values.</x:v>
      </x:c>
    </x:row>
    <x:row r="21">
      <x:c r="A21" s="11" t="n">
        <x:v>15</x:v>
      </x:c>
      <x:c r="B21" s="11" t="str">
        <x:v>TicketClassification</x:v>
      </x:c>
      <x:c r="C21" s="11" t="n">
        <x:v>0</x:v>
      </x:c>
      <x:c r="D21" s="11" t="n">
        <x:v>0</x:v>
      </x:c>
      <x:c r="E21" s="15" t="str">
        <x:v>No authoritative seed found</x:v>
      </x:c>
      <x:c r="F21" s="13" t="str">
        <x:v>Environment setup can remain empty or diverge.</x:v>
      </x:c>
      <x:c r="G21" s="13" t="str">
        <x:v>Define a business-approved catalogue and idempotent seed; do not invent values.</x:v>
      </x:c>
    </x:row>
    <x:row r="22">
      <x:c r="A22" s="11" t="n">
        <x:v>16</x:v>
      </x:c>
      <x:c r="B22" s="11" t="str">
        <x:v>TicketType</x:v>
      </x:c>
      <x:c r="C22" s="11" t="n">
        <x:v>0</x:v>
      </x:c>
      <x:c r="D22" s="11" t="n">
        <x:v>0</x:v>
      </x:c>
      <x:c r="E22" s="15" t="str">
        <x:v>No authoritative seed found</x:v>
      </x:c>
      <x:c r="F22" s="13" t="str">
        <x:v>Environment setup can remain empty or diverge.</x:v>
      </x:c>
      <x:c r="G22" s="13" t="str">
        <x:v>Define a business-approved catalogue and idempotent seed; do not invent values.</x:v>
      </x:c>
    </x:row>
    <x:row r="23">
      <x:c r="A23" s="12" t="n">
        <x:v>17</x:v>
      </x:c>
      <x:c r="B23" s="12" t="str">
        <x:v>WorkDocumentType</x:v>
      </x:c>
      <x:c r="C23" s="12" t="n">
        <x:v>0</x:v>
      </x:c>
      <x:c r="D23" s="12" t="n">
        <x:v>0</x:v>
      </x:c>
      <x:c r="E23" s="23" t="str">
        <x:v>No authoritative seed found</x:v>
      </x:c>
      <x:c r="F23" s="14" t="str">
        <x:v>Environment setup can remain empty or diverge.</x:v>
      </x:c>
      <x:c r="G23" s="14" t="str">
        <x:v>Define a business-approved catalogue and idempotent seed; do not invent values.</x:v>
      </x:c>
    </x:row>
  </x:sheetData>
  <x:mergeCells>
    <x:mergeCell ref="A2:G2"/>
    <x:mergeCell ref="A3:G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4" hidden="0" customWidth="1"/>
    <x:col min="3" max="3" width="14" hidden="0" customWidth="1"/>
    <x:col min="4" max="4" width="14" hidden="0" customWidth="1"/>
    <x:col min="5" max="5" width="68" hidden="0" customWidth="1"/>
  </x:cols>
  <x:sheetData>
    <x:row r="2">
      <x:c r="A2" s="1" t="str">
        <x:v>Workbook checks</x:v>
      </x:c>
    </x:row>
    <x:row r="3">
      <x:c r="A3" s="2" t="str">
        <x:v>Terminal audit checks for completeness and consistency. These checks do not drive other sheets.</x:v>
      </x:c>
    </x:row>
    <x:row r="4">
      <x:c r="A4" s="3"/>
      <x:c r="B4" s="3"/>
      <x:c r="C4" s="3"/>
      <x:c r="D4" s="3"/>
      <x:c r="E4" s="3"/>
    </x:row>
    <x:row r="6">
      <x:c r="A6" s="8" t="str">
        <x:v>Check</x:v>
      </x:c>
      <x:c r="B6" s="8" t="str">
        <x:v>Expected</x:v>
      </x:c>
      <x:c r="C6" s="8" t="str">
        <x:v>Actual</x:v>
      </x:c>
      <x:c r="D6" s="8" t="str">
        <x:v>Status</x:v>
      </x:c>
      <x:c r="E6" s="8" t="str">
        <x:v>Explanation</x:v>
      </x:c>
    </x:row>
    <x:row r="7">
      <x:c r="A7" s="11" t="str">
        <x:v>Seed catalog row count</x:v>
      </x:c>
      <x:c r="B7" s="11" t="n">
        <x:v>50</x:v>
      </x:c>
      <x:c r="C7" s="11" t="n">
        <x:f>COUNTA('Seed catalog'!B7:B56)</x:f>
        <x:v>50</x:v>
      </x:c>
      <x:c r="D7" s="19" t="str">
        <x:f>IF(B7=C7,"PASS","FAIL")</x:f>
        <x:v>PASS</x:v>
      </x:c>
      <x:c r="E7" s="11" t="str">
        <x:v>Every seeded table appears once.</x:v>
      </x:c>
    </x:row>
    <x:row r="8">
      <x:c r="A8" s="11" t="str">
        <x:v>SQL-seeded tables</x:v>
      </x:c>
      <x:c r="B8" s="11" t="n">
        <x:v>48</x:v>
      </x:c>
      <x:c r="C8" s="11" t="n">
        <x:f>COUNTIF('Seed catalog'!D7:D56,"SQL")</x:f>
        <x:v>48</x:v>
      </x:c>
      <x:c r="D8" s="19" t="str">
        <x:f>IF(B8=C8,"PASS","FAIL")</x:f>
        <x:v>PASS</x:v>
      </x:c>
      <x:c r="E8" s="11" t="str">
        <x:v>Explicit INSERT-based source found.</x:v>
      </x:c>
    </x:row>
    <x:row r="9">
      <x:c r="A9" s="11" t="str">
        <x:v>Runtime-seeded tables</x:v>
      </x:c>
      <x:c r="B9" s="11" t="n">
        <x:v>2</x:v>
      </x:c>
      <x:c r="C9" s="11" t="n">
        <x:f>COUNTIF('Seed catalog'!D7:D56,"Runtime")</x:f>
        <x:v>2</x:v>
      </x:c>
      <x:c r="D9" s="19" t="str">
        <x:f>IF(B9=C9,"PASS","FAIL")</x:f>
        <x:v>PASS</x:v>
      </x:c>
      <x:c r="E9" s="11" t="str">
        <x:v>Explicit seed helper found.</x:v>
      </x:c>
    </x:row>
    <x:row r="10">
      <x:c r="A10" s="11" t="str">
        <x:v>Missing-seed candidates</x:v>
      </x:c>
      <x:c r="B10" s="11" t="n">
        <x:v>17</x:v>
      </x:c>
      <x:c r="C10" s="11" t="n">
        <x:f>COUNTA('Missing seeds'!B7:B23)</x:f>
        <x:v>17</x:v>
      </x:c>
      <x:c r="D10" s="19" t="str">
        <x:f>IF(B10=C10,"PASS","FAIL")</x:f>
        <x:v>PASS</x:v>
      </x:c>
      <x:c r="E10" s="11" t="str">
        <x:v>Separate review list is complete.</x:v>
      </x:c>
    </x:row>
    <x:row r="11">
      <x:c r="A11" s="11" t="str">
        <x:v>Blank source count</x:v>
      </x:c>
      <x:c r="B11" s="11" t="n">
        <x:v>0</x:v>
      </x:c>
      <x:c r="C11" s="11" t="n">
        <x:f>COUNTBLANK('Seed catalog'!E7:E56)</x:f>
        <x:v>0</x:v>
      </x:c>
      <x:c r="D11" s="19" t="str">
        <x:f>IF(B11=C11,"PASS","FAIL")</x:f>
        <x:v>PASS</x:v>
      </x:c>
      <x:c r="E11" s="11" t="str">
        <x:v>Every seeded table has a primary source.</x:v>
      </x:c>
    </x:row>
    <x:row r="12">
      <x:c r="A12" s="11" t="str">
        <x:v>Duplicate table names</x:v>
      </x:c>
      <x:c r="B12" s="11" t="n">
        <x:v>0</x:v>
      </x:c>
      <x:c r="C12" s="11" t="n">
        <x:v>0</x:v>
      </x:c>
      <x:c r="D12" s="19" t="str">
        <x:f>IF(B12=C12,"PASS","FAIL")</x:f>
        <x:v>PASS</x:v>
      </x:c>
      <x:c r="E12" s="11" t="str">
        <x:v>Catalog table names are unique.</x:v>
      </x:c>
    </x:row>
    <x:row r="13">
      <x:c r="A13" s="12" t="str">
        <x:v>EF HasData usage</x:v>
      </x:c>
      <x:c r="B13" s="12" t="n">
        <x:v>0</x:v>
      </x:c>
      <x:c r="C13" s="12" t="n">
        <x:f>0</x:f>
        <x:v>0</x:v>
      </x:c>
      <x:c r="D13" s="22" t="str">
        <x:f>IF(B13=C13,"PASS","FAIL")</x:f>
        <x:v>PASS</x:v>
      </x:c>
      <x:c r="E13" s="12" t="str">
        <x:v>Repository scan found no EF Core HasData seeding.</x:v>
      </x:c>
    </x:row>
    <x:row r="16">
      <x:c r="A16" s="8" t="str">
        <x:v>Environment difference</x:v>
      </x:c>
      <x:c r="B16" s="8" t="str">
        <x:v>Count</x:v>
      </x:c>
      <x:c r="C16" s="8" t="str">
        <x:v>Review</x:v>
      </x:c>
    </x:row>
    <x:row r="17">
      <x:c r="A17" s="15" t="str">
        <x:v>Local vs Render row-count differences</x:v>
      </x:c>
      <x:c r="B17" s="15" t="n">
        <x:f>COUNTIF('Seed catalog'!H7:H56,"DIFF")</x:f>
        <x:v>10</x:v>
      </x:c>
      <x:c r="C17" s="15" t="str">
        <x:v>Open Seed catalog and filter Parity = DIFF.</x:v>
      </x:c>
    </x:row>
  </x:sheetData>
  <x:mergeCells>
    <x:mergeCell ref="A2:E2"/>
    <x:mergeCell ref="A3:E3"/>
  </x:mergeCells>
  <x:pageMargins left="0.7" right="0.7" top="0.75" bottom="0.75" header="0.3" footer="0.3"/>
</x:worksheet>
</file>